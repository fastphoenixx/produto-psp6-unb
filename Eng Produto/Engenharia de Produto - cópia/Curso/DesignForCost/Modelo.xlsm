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unbbr.sharepoint.com/sites/EngenhariadeProduto/Documentos Compartilhados/General/Biblioteca/DesignForCost/"/>
    </mc:Choice>
  </mc:AlternateContent>
  <xr:revisionPtr revIDLastSave="336" documentId="11_DEF86677DF4EEFE664C8D77C5452FA8AE472E123" xr6:coauthVersionLast="47" xr6:coauthVersionMax="47" xr10:uidLastSave="{8E5EA424-31B1-47E4-A239-AA01C6950B2D}"/>
  <bookViews>
    <workbookView xWindow="-120" yWindow="-120" windowWidth="29040" windowHeight="15840" tabRatio="572" activeTab="5" xr2:uid="{00000000-000D-0000-FFFF-FFFF00000000}"/>
  </bookViews>
  <sheets>
    <sheet name="Instruções" sheetId="1" r:id="rId1"/>
    <sheet name="Resumo" sheetId="2" r:id="rId2"/>
    <sheet name="Software" sheetId="3" r:id="rId3"/>
    <sheet name="Hardware" sheetId="4" r:id="rId4"/>
    <sheet name="Componentes" sheetId="5" r:id="rId5"/>
    <sheet name="Custo Total" sheetId="6" r:id="rId6"/>
    <sheet name="Precificação" sheetId="7" r:id="rId7"/>
    <sheet name="Análise econômica" sheetId="8" r:id="rId8"/>
    <sheet name="Simulação" sheetId="9" r:id="rId9"/>
  </sheets>
  <definedNames>
    <definedName name="Z_ED5E4BD8_70AD_414F_AD0F_BD75B337D161_.wvu.Rows" localSheetId="7" hidden="1">'Análise econômica'!$20:$20</definedName>
  </definedNames>
  <calcPr calcId="191029"/>
  <customWorkbookViews>
    <customWorkbookView name="Daniel Cardoso Villano - Modo de exibição pessoal" guid="{ED5E4BD8-70AD-414F-AD0F-BD75B337D161}" mergeInterval="0" personalView="1" maximized="1" windowWidth="1440" windowHeight="700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8" l="1"/>
  <c r="I29" i="4"/>
  <c r="F23" i="3"/>
  <c r="B11" i="6" s="1"/>
  <c r="B5" i="7"/>
  <c r="F12" i="5"/>
  <c r="F30" i="5"/>
  <c r="D37" i="5" s="1"/>
  <c r="D20" i="5"/>
  <c r="F11" i="5"/>
  <c r="B11" i="2" l="1"/>
  <c r="B47" i="7" l="1"/>
  <c r="B39" i="2"/>
  <c r="B37" i="2"/>
  <c r="B55" i="7"/>
  <c r="B51" i="7"/>
  <c r="B23" i="7"/>
  <c r="B19" i="7"/>
  <c r="B57" i="7"/>
  <c r="B17" i="2" s="1"/>
  <c r="B3" i="2"/>
  <c r="B35" i="7" l="1"/>
  <c r="B39" i="7"/>
  <c r="B11" i="7"/>
  <c r="B27" i="7"/>
  <c r="B43" i="7"/>
  <c r="B15" i="2"/>
  <c r="B15" i="7"/>
  <c r="B31" i="7"/>
  <c r="B8" i="7"/>
  <c r="B12" i="7"/>
  <c r="B16" i="7"/>
  <c r="B20" i="7"/>
  <c r="B24" i="7"/>
  <c r="B28" i="7"/>
  <c r="B32" i="7"/>
  <c r="B36" i="7"/>
  <c r="B40" i="7"/>
  <c r="B44" i="7"/>
  <c r="B48" i="7"/>
  <c r="B52" i="7"/>
  <c r="B9" i="7"/>
  <c r="B13" i="7"/>
  <c r="B17" i="7"/>
  <c r="B21" i="7"/>
  <c r="B25" i="7"/>
  <c r="B29" i="7"/>
  <c r="B33" i="7"/>
  <c r="B37" i="7"/>
  <c r="B41" i="7"/>
  <c r="B45" i="7"/>
  <c r="B49" i="7"/>
  <c r="B53" i="7"/>
  <c r="B10" i="7"/>
  <c r="B14" i="7"/>
  <c r="B18" i="7"/>
  <c r="B22" i="7"/>
  <c r="B26" i="7"/>
  <c r="B30" i="7"/>
  <c r="B34" i="7"/>
  <c r="B38" i="7"/>
  <c r="B42" i="7"/>
  <c r="B46" i="7"/>
  <c r="B50" i="7"/>
  <c r="B54" i="7"/>
  <c r="B56" i="7"/>
  <c r="B39" i="5" l="1"/>
  <c r="B9" i="2" s="1"/>
  <c r="B3" i="7" s="1"/>
  <c r="C57" i="7" l="1"/>
  <c r="C11" i="7"/>
  <c r="C43" i="7"/>
  <c r="C12" i="7"/>
  <c r="C44" i="7"/>
  <c r="C13" i="7"/>
  <c r="C45" i="7"/>
  <c r="C14" i="7"/>
  <c r="C46" i="7"/>
  <c r="C15" i="7"/>
  <c r="C47" i="7"/>
  <c r="C16" i="7"/>
  <c r="C48" i="7"/>
  <c r="C17" i="7"/>
  <c r="C49" i="7"/>
  <c r="C18" i="7"/>
  <c r="C50" i="7"/>
  <c r="C19" i="7"/>
  <c r="C51" i="7"/>
  <c r="C20" i="7"/>
  <c r="C52" i="7"/>
  <c r="C21" i="7"/>
  <c r="C53" i="7"/>
  <c r="C22" i="7"/>
  <c r="C54" i="7"/>
  <c r="C23" i="7"/>
  <c r="C24" i="7"/>
  <c r="C25" i="7"/>
  <c r="C26" i="7"/>
  <c r="C55" i="7"/>
  <c r="C27" i="7"/>
  <c r="C28" i="7"/>
  <c r="C29" i="7"/>
  <c r="C30" i="7"/>
  <c r="C31" i="7"/>
  <c r="C32" i="7"/>
  <c r="C33" i="7"/>
  <c r="C34" i="7"/>
  <c r="C56" i="7"/>
  <c r="C35" i="7"/>
  <c r="C36" i="7"/>
  <c r="C37" i="7"/>
  <c r="C38" i="7"/>
  <c r="C39" i="7"/>
  <c r="C8" i="7"/>
  <c r="C40" i="7"/>
  <c r="C9" i="7"/>
  <c r="C41" i="7"/>
  <c r="C10" i="7"/>
  <c r="C42" i="7"/>
  <c r="B17" i="6"/>
  <c r="B35" i="4"/>
  <c r="B5" i="2" s="1"/>
  <c r="F17" i="8" l="1"/>
  <c r="J17" i="8" s="1"/>
  <c r="K17" i="8" s="1"/>
  <c r="F13" i="8"/>
  <c r="J13" i="8" s="1"/>
  <c r="K13" i="8" s="1"/>
  <c r="F11" i="8"/>
  <c r="J11" i="8" s="1"/>
  <c r="K11" i="8" s="1"/>
  <c r="F16" i="8"/>
  <c r="J16" i="8" s="1"/>
  <c r="K16" i="8" s="1"/>
  <c r="F18" i="8"/>
  <c r="J18" i="8" s="1"/>
  <c r="K18" i="8" s="1"/>
  <c r="F10" i="8"/>
  <c r="J10" i="8" s="1"/>
  <c r="K10" i="8" s="1"/>
  <c r="J9" i="8"/>
  <c r="K9" i="8" s="1"/>
  <c r="F14" i="8"/>
  <c r="J14" i="8" s="1"/>
  <c r="K14" i="8" s="1"/>
  <c r="F15" i="8"/>
  <c r="J15" i="8" s="1"/>
  <c r="K15" i="8" s="1"/>
  <c r="F12" i="8"/>
  <c r="J12" i="8" s="1"/>
  <c r="K12" i="8" s="1"/>
  <c r="B13" i="6"/>
  <c r="B15" i="6" s="1"/>
  <c r="F8" i="8" l="1"/>
  <c r="J8" i="8" s="1"/>
  <c r="K8" i="8" s="1"/>
  <c r="L8" i="8" s="1"/>
  <c r="L9" i="8" s="1"/>
  <c r="B7" i="2"/>
  <c r="B3" i="8" l="1"/>
  <c r="C5" i="9" s="1"/>
  <c r="C6" i="9" s="1"/>
  <c r="B9" i="8"/>
  <c r="B27" i="2" s="1"/>
  <c r="G8" i="8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L10" i="8"/>
  <c r="L11" i="8" s="1"/>
  <c r="L12" i="8" s="1"/>
  <c r="L13" i="8" s="1"/>
  <c r="L14" i="8" s="1"/>
  <c r="L15" i="8" s="1"/>
  <c r="L16" i="8" s="1"/>
  <c r="L17" i="8" s="1"/>
  <c r="L18" i="8" s="1"/>
  <c r="B21" i="2" l="1"/>
  <c r="A13" i="8"/>
  <c r="A31" i="2" s="1"/>
  <c r="G5" i="9"/>
  <c r="G6" i="9" s="1"/>
  <c r="A15" i="8"/>
  <c r="A33" i="2" s="1"/>
  <c r="E20" i="8"/>
  <c r="B5" i="8" s="1"/>
  <c r="B23" i="2" s="1"/>
  <c r="I20" i="8"/>
  <c r="B7" i="8" s="1"/>
  <c r="B25" i="2" s="1"/>
</calcChain>
</file>

<file path=xl/sharedStrings.xml><?xml version="1.0" encoding="utf-8"?>
<sst xmlns="http://schemas.openxmlformats.org/spreadsheetml/2006/main" count="238" uniqueCount="197">
  <si>
    <t>Estimativa do Custo de Desenvolvimento do Software</t>
  </si>
  <si>
    <t>Modelo COCOMO</t>
  </si>
  <si>
    <t xml:space="preserve"> </t>
  </si>
  <si>
    <t xml:space="preserve">Onde KLOC é o número de linhas (em milhares) de código do projeto. </t>
  </si>
  <si>
    <t>Coeficientes:</t>
  </si>
  <si>
    <t>Projeto de software</t>
  </si>
  <si>
    <t>Orgânico</t>
  </si>
  <si>
    <t>Semi-desacoplado</t>
  </si>
  <si>
    <t>Embarcado</t>
  </si>
  <si>
    <t>Equações:</t>
  </si>
  <si>
    <t>Entradas:</t>
  </si>
  <si>
    <t>KLOC:</t>
  </si>
  <si>
    <t>Tipo de projeto de Software :</t>
  </si>
  <si>
    <t>Cálculos:</t>
  </si>
  <si>
    <t xml:space="preserve">E = </t>
  </si>
  <si>
    <t xml:space="preserve">D = </t>
  </si>
  <si>
    <t xml:space="preserve">P = </t>
  </si>
  <si>
    <t>(Preencher o tipo de projeto: Orgânico, Semi ou Embarcado)</t>
  </si>
  <si>
    <t>Tipos de projeto:</t>
  </si>
  <si>
    <t>experiência com requisitos de projeto não rígidos.</t>
  </si>
  <si>
    <t xml:space="preserve">média experiência e quisitos de projeto rígidos e não rígidos. </t>
  </si>
  <si>
    <t xml:space="preserve">Projeto Orgânico: projetos que envolvam pequenos times com boa </t>
  </si>
  <si>
    <t>Projeto Embarcado: desenvolvidos com um conjunto de restrições. É</t>
  </si>
  <si>
    <t xml:space="preserve">também uma combinação de projetos orgânicos e semi-desacoplados. </t>
  </si>
  <si>
    <t>Estimativa do Custo de Desenvolvimento do Hardware</t>
  </si>
  <si>
    <t xml:space="preserve">Saídas: </t>
  </si>
  <si>
    <t>pessoa-mês</t>
  </si>
  <si>
    <t>meses</t>
  </si>
  <si>
    <t>1. Lista de Atividades de Desenvolvimento Mecânico</t>
  </si>
  <si>
    <t>1.1 Clarificar e especificar o problema</t>
  </si>
  <si>
    <t>1.2 Detectar funções e estruturas</t>
  </si>
  <si>
    <t>1.3 Encontrar soluções e princípios</t>
  </si>
  <si>
    <t>1.4 Estruturar em modelos viáveis</t>
  </si>
  <si>
    <t>1.5 Dar forma física a módulos importantes</t>
  </si>
  <si>
    <t>1.6 Dar forma física ao produto como um todo</t>
  </si>
  <si>
    <t>1.7 Mapear execução e instruções de uso</t>
  </si>
  <si>
    <t>Tempo (hrs)</t>
  </si>
  <si>
    <t>Custo da atividade (R$)</t>
  </si>
  <si>
    <t>2. Lista de Atividades de Desenvolvimento Eletrônico</t>
  </si>
  <si>
    <t>2.1 Especificação</t>
  </si>
  <si>
    <t>2.2 Descrição do sistema</t>
  </si>
  <si>
    <t>2.3 Descrição do algoritmo</t>
  </si>
  <si>
    <t>2.4 Descrição do registro e interface</t>
  </si>
  <si>
    <t>2.5 Descrição da lógica</t>
  </si>
  <si>
    <t>2.6 Descrição do transistor</t>
  </si>
  <si>
    <t>2.7 Lay-out</t>
  </si>
  <si>
    <t>2.8 Manufatura</t>
  </si>
  <si>
    <t xml:space="preserve">Forma de cálculo: </t>
  </si>
  <si>
    <t xml:space="preserve">O custo de desenvolvimento mecânico e eletrônico é calculado por meio </t>
  </si>
  <si>
    <t>dos custos de atividades específicas de desenvolvimento de produtos</t>
  </si>
  <si>
    <t xml:space="preserve">mecânico e eletrônico. O o custo homem-hora da especialidade mecânica </t>
  </si>
  <si>
    <t xml:space="preserve">e eletrônica, bem como os tempos gastos em cada atividade devem ser </t>
  </si>
  <si>
    <t xml:space="preserve">inseridos no modelo para se chegar à estimativa de custo de </t>
  </si>
  <si>
    <t>desenvolvimento de hardware global, por meio da equação:</t>
  </si>
  <si>
    <t>R$/hr</t>
  </si>
  <si>
    <t>(os campos em azul devem ser preenchidos)</t>
  </si>
  <si>
    <t>Mecânico</t>
  </si>
  <si>
    <t>Qtd</t>
  </si>
  <si>
    <t xml:space="preserve">Domínio: </t>
  </si>
  <si>
    <t>Nome da Parte</t>
  </si>
  <si>
    <t>Preço (R$)</t>
  </si>
  <si>
    <t>Custo Total Parte</t>
  </si>
  <si>
    <t>Eletrônico</t>
  </si>
  <si>
    <t xml:space="preserve">O custo do produto mecatrônico leva em consideração o custo das partes </t>
  </si>
  <si>
    <t xml:space="preserve">e componentes mecânicos e eletrônicos. Têm-se como entrada a lista de </t>
  </si>
  <si>
    <t>materiais e o preço unitário de cada item. A planilha calcula o custo total</t>
  </si>
  <si>
    <t xml:space="preserve">de cada parte, o custo do produto no mecânico e mecatrônico e o custo </t>
  </si>
  <si>
    <t xml:space="preserve">total. A equação é dada por: </t>
  </si>
  <si>
    <t>Estimativa do Custo Total do Produto Mecatrônico</t>
  </si>
  <si>
    <t>Custo-meta</t>
  </si>
  <si>
    <t># Unidades Produzidas</t>
  </si>
  <si>
    <t>Salário do Analista:</t>
  </si>
  <si>
    <t>Custo Total do Produto Mecatrônico</t>
  </si>
  <si>
    <t>Custo do Desenvolvimento do Software</t>
  </si>
  <si>
    <t>Custo do Desenvolvimento do Hardware</t>
  </si>
  <si>
    <t>Custo do Desenvolvimento Mecânico</t>
  </si>
  <si>
    <t>Custo do Desenvolvimento Eletrônico</t>
  </si>
  <si>
    <t>Custo Total de Desenvolvimento</t>
  </si>
  <si>
    <t>Taxa de desconto</t>
  </si>
  <si>
    <t>Análise Econômica</t>
  </si>
  <si>
    <t>1) Valor Presente Líquido (VPL)</t>
  </si>
  <si>
    <t>Fluxo de Caixa Livre (FCL)</t>
  </si>
  <si>
    <t>Ano</t>
  </si>
  <si>
    <t>PAYBACK SIMPLES</t>
  </si>
  <si>
    <t>FCL acumulado</t>
  </si>
  <si>
    <t>PAYBACK DESCONTADO</t>
  </si>
  <si>
    <t>VP do FCL</t>
  </si>
  <si>
    <t>VP do FCL acumulado</t>
  </si>
  <si>
    <t>2) Payback Simples</t>
  </si>
  <si>
    <t>3) Payback Descontado</t>
  </si>
  <si>
    <t>4) Taxa Interna de Retorno (TIR)</t>
  </si>
  <si>
    <t xml:space="preserve">* Os campos em azul devem ser preenchidos. </t>
  </si>
  <si>
    <t xml:space="preserve">econômica serão preenchidos automaticamente. </t>
  </si>
  <si>
    <t>Instruções: Preencher os fluxos de caixa livre da tabela do Payback Sismples. Os indicadores referentes à análise</t>
  </si>
  <si>
    <t>Simulação Monte Carlo</t>
  </si>
  <si>
    <t>VPL</t>
  </si>
  <si>
    <t>TIR</t>
  </si>
  <si>
    <t>Valor Presente Líquido</t>
  </si>
  <si>
    <t>Média</t>
  </si>
  <si>
    <t>Desvio Padrão</t>
  </si>
  <si>
    <t>Resultados:</t>
  </si>
  <si>
    <t>Resultados</t>
  </si>
  <si>
    <t>Número de simulações</t>
  </si>
  <si>
    <t>2) Taxa Interna de Retorno (TIR)</t>
  </si>
  <si>
    <t>Simulação de Monte Carlo</t>
  </si>
  <si>
    <t xml:space="preserve">Projeto Semi-desacoplado: projetos que envolvam times médios com </t>
  </si>
  <si>
    <t>Análise econômica:</t>
  </si>
  <si>
    <t xml:space="preserve">Análise Econômica: </t>
  </si>
  <si>
    <t>Custo 1a unidade</t>
  </si>
  <si>
    <t>Precificação</t>
  </si>
  <si>
    <t>Preço de venda 1a unidade produzida</t>
  </si>
  <si>
    <t>Preço de venda 50a unidade produzida</t>
  </si>
  <si>
    <t>Constante paramétrica (b)</t>
  </si>
  <si>
    <t>Preço Venda 1a unidade</t>
  </si>
  <si>
    <t>Unidade (°)</t>
  </si>
  <si>
    <t>Preço Venda</t>
  </si>
  <si>
    <t>Custo do Produto (partes)</t>
  </si>
  <si>
    <t>Fórmula de Cálculo</t>
  </si>
  <si>
    <t xml:space="preserve">O modelo considera a estratégia da curva de </t>
  </si>
  <si>
    <t xml:space="preserve">experiência, que considera que os custos para se </t>
  </si>
  <si>
    <t>produzir cada unidade extra produzida diminuirá</t>
  </si>
  <si>
    <t xml:space="preserve">sistematicamente, de acordo com a equação: </t>
  </si>
  <si>
    <t>Em que Y representa o custo por unidade produzida</t>
  </si>
  <si>
    <t>X, a representa o custo da primeira unidade produzida</t>
  </si>
  <si>
    <t>O preço de venda do produto também acompanhará</t>
  </si>
  <si>
    <t xml:space="preserve">a queda do custo. O custo considerado na análise </t>
  </si>
  <si>
    <t xml:space="preserve">é o custo das partes e componentes do produto </t>
  </si>
  <si>
    <t xml:space="preserve">A ferramenta proposta para avaliação dos custos do produto mecatrônico foi desenvolvida em Excel e Visual Basic. </t>
  </si>
  <si>
    <r>
      <t xml:space="preserve">1) </t>
    </r>
    <r>
      <rPr>
        <sz val="10"/>
        <color theme="1"/>
        <rFont val="Arial"/>
        <family val="2"/>
      </rPr>
      <t xml:space="preserve">Resumo: contém informações sumarizadas dos custos do produto mecatrônico, da avaliação econômica do projeto e </t>
    </r>
  </si>
  <si>
    <t>dados da simulação, bem como gráficos e outras informações importantes do projeto.</t>
  </si>
  <si>
    <r>
      <t>2)</t>
    </r>
    <r>
      <rPr>
        <sz val="10"/>
        <color theme="1"/>
        <rFont val="Arial"/>
        <family val="2"/>
      </rPr>
      <t xml:space="preserve"> Software: nesta aba, a estimativa de custo de desenvolvimento de software é calculada, utilizando como base o </t>
    </r>
  </si>
  <si>
    <t xml:space="preserve">modelo COCOMO de estimativa de custo de software. </t>
  </si>
  <si>
    <r>
      <t xml:space="preserve">3) </t>
    </r>
    <r>
      <rPr>
        <sz val="10"/>
        <color theme="1"/>
        <rFont val="Arial"/>
        <family val="2"/>
      </rPr>
      <t>Hardware: nesta aba, a estimativa de custo de desenvolvimento de hardware (mecânico e eletrônico) é calculada.</t>
    </r>
  </si>
  <si>
    <t>por Axelsson (2000).</t>
  </si>
  <si>
    <r>
      <t xml:space="preserve">4) </t>
    </r>
    <r>
      <rPr>
        <sz val="10"/>
        <color theme="1"/>
        <rFont val="Arial"/>
        <family val="2"/>
      </rPr>
      <t xml:space="preserve">Produto: nesta aba, a estimativa de custo de materiais do produto mecatrônico é calculada, utilizando-se do modelo proposto  </t>
    </r>
  </si>
  <si>
    <r>
      <t xml:space="preserve">6) </t>
    </r>
    <r>
      <rPr>
        <sz val="10"/>
        <color theme="1"/>
        <rFont val="Arial"/>
        <family val="2"/>
      </rPr>
      <t xml:space="preserve">Precificação: calcula o preço de cada unidade produzida, com base na equação da curva de experiência. Possui </t>
    </r>
  </si>
  <si>
    <t xml:space="preserve">aprendizagem e o preço de venda da 1ª unidade produzida. </t>
  </si>
  <si>
    <r>
      <t xml:space="preserve">7) </t>
    </r>
    <r>
      <rPr>
        <sz val="10"/>
        <color theme="1"/>
        <rFont val="Arial"/>
        <family val="2"/>
      </rPr>
      <t xml:space="preserve">Análise econômica: nesta aba, os indicadores econômicos do projeto (VPL, Payback e TIR) são calculados. </t>
    </r>
  </si>
  <si>
    <r>
      <t xml:space="preserve">8) </t>
    </r>
    <r>
      <rPr>
        <sz val="10"/>
        <color theme="1"/>
        <rFont val="Arial"/>
        <family val="2"/>
      </rPr>
      <t xml:space="preserve">Simulação: nesta aba, é realizada uma simulação de Monte Carlo dos indicadores econômicos calculados na etapa </t>
    </r>
  </si>
  <si>
    <t xml:space="preserve">de Análise Econômica. </t>
  </si>
  <si>
    <r>
      <t xml:space="preserve">5) </t>
    </r>
    <r>
      <rPr>
        <sz val="10"/>
        <color theme="1"/>
        <rFont val="Arial"/>
        <family val="2"/>
      </rPr>
      <t xml:space="preserve">Custo Total: apresenta as informações do custo do produto mecatrônico por categoria (desenvolvimento e materiais), bem </t>
    </r>
  </si>
  <si>
    <t>como compara a estimativa de custo com o custo-meta definido.</t>
  </si>
  <si>
    <t>Os seguintes campos devem ser preenchidos nas respectivas planilhas:</t>
  </si>
  <si>
    <t xml:space="preserve">Aba Software: Tipo de Projeto (Orgânico, Semi ou Embarcado), Salário mensal do analista e KLOC (# linhas de código em </t>
  </si>
  <si>
    <t>milhares).</t>
  </si>
  <si>
    <t xml:space="preserve">hardware da planilha. </t>
  </si>
  <si>
    <t xml:space="preserve">Aba Hardware: Custo homem-hora (especialidades mecânica e eletrônica) e o tempo de cada atividade de desenvolvimento de </t>
  </si>
  <si>
    <t>As outras abas serão preenchidas automaticamente.</t>
  </si>
  <si>
    <t xml:space="preserve">PREENCHIMENTO: </t>
  </si>
  <si>
    <t xml:space="preserve">O documento possui as seguintes abas: </t>
  </si>
  <si>
    <t xml:space="preserve">como parâmetros de entrada o custo da 1ª unidade produzida, a constante paramétrica de porcentagem de </t>
  </si>
  <si>
    <t>Custo dos Componentes</t>
  </si>
  <si>
    <t>e b (b &lt; 0) é uma constante paramétrica, chamada</t>
  </si>
  <si>
    <t>constante de aprendizagem. Para equipamentos</t>
  </si>
  <si>
    <t xml:space="preserve">eletrônicos com processo de manufatura </t>
  </si>
  <si>
    <t>repetitivo, a porcentagem de aprendizagem giro em</t>
  </si>
  <si>
    <t xml:space="preserve">torno de 90-95%. </t>
  </si>
  <si>
    <t>mecatrônico.</t>
  </si>
  <si>
    <t>Custo Componentes Mecânico</t>
  </si>
  <si>
    <t>Custo Componentes Eletrônico</t>
  </si>
  <si>
    <t xml:space="preserve">Aba Componentes: Listar as partes de cada produto, a quantidade e o custo de cada parte. </t>
  </si>
  <si>
    <t>Taxa de Desconto (a.a)</t>
  </si>
  <si>
    <t>TMA (a.a)</t>
  </si>
  <si>
    <t>Aba Custo Total: Preencher o custo-meta, o # unidades produzidas e a taxa de desconto.</t>
  </si>
  <si>
    <t>INSTRUÇÕES GERAIS</t>
  </si>
  <si>
    <t>PREENCHIMENTO</t>
  </si>
  <si>
    <t>Os campos em azul devem ser preenchidos: Tipo de Projeto (Orgânico,</t>
  </si>
  <si>
    <t>de linhas de código em milhares do software sendo desenvolvido)</t>
  </si>
  <si>
    <t>Semi ou Embarcado), salário mensal do analista (R$) e KLOC (número</t>
  </si>
  <si>
    <t xml:space="preserve">aplicado, tempo de desenvolvimento e pessoal, de acordo com as </t>
  </si>
  <si>
    <t>premissas do Modelo COCOMO.</t>
  </si>
  <si>
    <t xml:space="preserve">Os campos em azul devem ser preenchidos: o custo-homem hora </t>
  </si>
  <si>
    <t xml:space="preserve">para as especialidades mecânica e elétrica, e o tempo total de </t>
  </si>
  <si>
    <t xml:space="preserve">desenvolvimento para cada atividade aplicável da lista de atividades. </t>
  </si>
  <si>
    <t xml:space="preserve">Como saída, o programa calculará os valores das variáveis esforço </t>
  </si>
  <si>
    <t>de desenvolvimento para cada atividade, e o custo total de desenvol</t>
  </si>
  <si>
    <t xml:space="preserve">vimento de hardware. </t>
  </si>
  <si>
    <t>Como saída o programa calculará o custo de cada atividade, o custo total</t>
  </si>
  <si>
    <t>PREECHIMENTO</t>
  </si>
  <si>
    <t xml:space="preserve">Nesta aba, os componentes devem ser listados e os campos em azul devem </t>
  </si>
  <si>
    <t xml:space="preserve">ser preenchidos: quantidade e preço de cada componente. </t>
  </si>
  <si>
    <t xml:space="preserve">Como saída o programa calculará o custo total de cada parte, o custo </t>
  </si>
  <si>
    <t>total de cada especialidade (mecânica e elétrica) e o custo total</t>
  </si>
  <si>
    <t xml:space="preserve">dos componentes. </t>
  </si>
  <si>
    <t>ESTIMATIVA DO CUSTO DOS COMPONENTES DO PRODUTO</t>
  </si>
  <si>
    <t>Semi</t>
  </si>
  <si>
    <t>COSTUREIRA</t>
  </si>
  <si>
    <t>TÉCNICO</t>
  </si>
  <si>
    <t>TECIDO</t>
  </si>
  <si>
    <t>ENCHIMENTO</t>
  </si>
  <si>
    <t>ELETRODO</t>
  </si>
  <si>
    <t>FIO</t>
  </si>
  <si>
    <t>FIXAR</t>
  </si>
  <si>
    <t>FONTE DE ENERGIA</t>
  </si>
  <si>
    <t>CARREGADOR</t>
  </si>
  <si>
    <t>EQUIPAMENTO DE ELETROESTIMULAÇÃO</t>
  </si>
  <si>
    <t>EMBALAGEM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</si>
</sst>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8" formatCode="&quot;R$&quot;\ #,##0.00;[Red]\-&quot;R$&quot;\ #,##0.00"/>
    <numFmt numFmtId="43" formatCode="_-* #,##0.00_-;\-* #,##0.00_-;_-* &quot;-&quot;??_-;_-@_-"/>
    <numFmt numFmtId="164" formatCode="&quot;R$&quot;\ #,##0.00"/>
  </numFmts>
  <fonts count="16">
    <font>
      <sz val="10"/>
      <color theme="1"/>
      <name val="Arial"/>
      <family val="2"/>
    </font>
    <font>
      <b/>
      <sz val="10"/>
      <color theme="1"/>
      <name val="Arial"/>
      <family val="2"/>
    </font>
    <font>
      <sz val="12"/>
      <color theme="1"/>
      <name val="Times New Roman"/>
      <family val="1"/>
    </font>
    <font>
      <sz val="10"/>
      <color rgb="FF000000"/>
      <name val="Arial"/>
      <family val="2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b/>
      <i/>
      <sz val="11"/>
      <color theme="3" tint="-0.249977111117893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sz val="11"/>
      <color indexed="8"/>
      <name val="Calibri"/>
      <family val="2"/>
    </font>
    <font>
      <sz val="11"/>
      <color rgb="FF9C6500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1"/>
      <color indexed="8"/>
      <name val="Calibri"/>
      <family val="2"/>
    </font>
    <font>
      <b/>
      <sz val="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5"/>
      </patternFill>
    </fill>
    <fill>
      <patternFill patternType="solid">
        <fgColor indexed="42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0" borderId="0">
      <alignment vertical="center"/>
    </xf>
    <xf numFmtId="0" fontId="12" fillId="9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</cellStyleXfs>
  <cellXfs count="100">
    <xf numFmtId="0" fontId="0" fillId="0" borderId="0" xfId="0"/>
    <xf numFmtId="0" fontId="0" fillId="3" borderId="2" xfId="0" applyFill="1" applyBorder="1"/>
    <xf numFmtId="0" fontId="0" fillId="4" borderId="2" xfId="0" applyFill="1" applyBorder="1"/>
    <xf numFmtId="0" fontId="0" fillId="4" borderId="2" xfId="0" applyFill="1" applyBorder="1" applyAlignment="1">
      <alignment horizontal="center"/>
    </xf>
    <xf numFmtId="0" fontId="1" fillId="0" borderId="0" xfId="0" applyFont="1"/>
    <xf numFmtId="164" fontId="0" fillId="4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2" xfId="0" applyNumberFormat="1" applyFill="1" applyBorder="1"/>
    <xf numFmtId="164" fontId="0" fillId="4" borderId="2" xfId="0" applyNumberFormat="1" applyFill="1" applyBorder="1"/>
    <xf numFmtId="164" fontId="0" fillId="3" borderId="2" xfId="0" applyNumberFormat="1" applyFill="1" applyBorder="1" applyAlignment="1">
      <alignment horizontal="center" wrapText="1"/>
    </xf>
    <xf numFmtId="10" fontId="0" fillId="3" borderId="2" xfId="0" applyNumberFormat="1" applyFill="1" applyBorder="1" applyAlignment="1">
      <alignment horizontal="center" wrapText="1"/>
    </xf>
    <xf numFmtId="10" fontId="0" fillId="4" borderId="10" xfId="0" applyNumberFormat="1" applyFill="1" applyBorder="1" applyAlignment="1">
      <alignment horizontal="center"/>
    </xf>
    <xf numFmtId="0" fontId="8" fillId="6" borderId="13" xfId="1" applyFill="1" applyBorder="1" applyAlignment="1">
      <alignment horizontal="center" vertical="center" wrapText="1"/>
    </xf>
    <xf numFmtId="0" fontId="8" fillId="6" borderId="13" xfId="1" applyFill="1" applyBorder="1" applyAlignment="1">
      <alignment horizontal="center"/>
    </xf>
    <xf numFmtId="7" fontId="8" fillId="4" borderId="13" xfId="2" applyNumberFormat="1" applyFont="1" applyFill="1" applyBorder="1" applyProtection="1">
      <protection locked="0"/>
    </xf>
    <xf numFmtId="7" fontId="8" fillId="4" borderId="13" xfId="2" applyNumberFormat="1" applyFont="1" applyFill="1" applyBorder="1" applyProtection="1"/>
    <xf numFmtId="0" fontId="0" fillId="7" borderId="6" xfId="0" applyFill="1" applyBorder="1"/>
    <xf numFmtId="0" fontId="0" fillId="7" borderId="0" xfId="0" applyFill="1"/>
    <xf numFmtId="0" fontId="0" fillId="7" borderId="7" xfId="0" applyFill="1" applyBorder="1"/>
    <xf numFmtId="0" fontId="1" fillId="7" borderId="6" xfId="0" applyFont="1" applyFill="1" applyBorder="1"/>
    <xf numFmtId="0" fontId="1" fillId="7" borderId="3" xfId="0" applyFont="1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 applyAlignment="1">
      <alignment horizontal="left"/>
    </xf>
    <xf numFmtId="0" fontId="0" fillId="7" borderId="0" xfId="0" applyFill="1" applyAlignment="1">
      <alignment horizontal="left"/>
    </xf>
    <xf numFmtId="0" fontId="1" fillId="7" borderId="0" xfId="0" applyFont="1" applyFill="1"/>
    <xf numFmtId="0" fontId="0" fillId="7" borderId="8" xfId="0" applyFill="1" applyBorder="1"/>
    <xf numFmtId="0" fontId="0" fillId="7" borderId="1" xfId="0" applyFill="1" applyBorder="1"/>
    <xf numFmtId="0" fontId="0" fillId="7" borderId="9" xfId="0" applyFill="1" applyBorder="1"/>
    <xf numFmtId="0" fontId="7" fillId="7" borderId="6" xfId="0" applyFont="1" applyFill="1" applyBorder="1"/>
    <xf numFmtId="0" fontId="1" fillId="7" borderId="3" xfId="0" applyFont="1" applyFill="1" applyBorder="1"/>
    <xf numFmtId="0" fontId="2" fillId="7" borderId="6" xfId="0" applyFont="1" applyFill="1" applyBorder="1" applyAlignment="1">
      <alignment horizontal="justify" vertical="center"/>
    </xf>
    <xf numFmtId="0" fontId="0" fillId="7" borderId="0" xfId="0" applyFill="1" applyAlignment="1">
      <alignment horizontal="center"/>
    </xf>
    <xf numFmtId="0" fontId="4" fillId="7" borderId="6" xfId="0" applyFont="1" applyFill="1" applyBorder="1" applyAlignment="1">
      <alignment horizontal="justify" vertical="center" wrapText="1"/>
    </xf>
    <xf numFmtId="0" fontId="3" fillId="7" borderId="0" xfId="0" applyFont="1" applyFill="1"/>
    <xf numFmtId="0" fontId="3" fillId="7" borderId="7" xfId="0" applyFont="1" applyFill="1" applyBorder="1"/>
    <xf numFmtId="0" fontId="5" fillId="7" borderId="6" xfId="0" applyFont="1" applyFill="1" applyBorder="1" applyAlignment="1">
      <alignment horizontal="justify" vertical="center" wrapText="1"/>
    </xf>
    <xf numFmtId="0" fontId="5" fillId="7" borderId="0" xfId="0" applyFont="1" applyFill="1" applyAlignment="1">
      <alignment horizontal="justify" vertical="center" wrapText="1"/>
    </xf>
    <xf numFmtId="0" fontId="5" fillId="7" borderId="7" xfId="0" applyFont="1" applyFill="1" applyBorder="1" applyAlignment="1">
      <alignment horizontal="justify" vertical="center" wrapText="1"/>
    </xf>
    <xf numFmtId="164" fontId="0" fillId="7" borderId="0" xfId="0" applyNumberFormat="1" applyFill="1"/>
    <xf numFmtId="0" fontId="5" fillId="2" borderId="6" xfId="0" applyFont="1" applyFill="1" applyBorder="1" applyAlignment="1">
      <alignment horizontal="justify" vertical="center" wrapText="1"/>
    </xf>
    <xf numFmtId="0" fontId="5" fillId="2" borderId="0" xfId="0" applyFont="1" applyFill="1" applyAlignment="1">
      <alignment horizontal="justify" vertical="center" wrapText="1"/>
    </xf>
    <xf numFmtId="0" fontId="5" fillId="2" borderId="7" xfId="0" applyFont="1" applyFill="1" applyBorder="1" applyAlignment="1">
      <alignment horizontal="justify" vertical="center" wrapText="1"/>
    </xf>
    <xf numFmtId="164" fontId="0" fillId="7" borderId="0" xfId="0" applyNumberFormat="1" applyFill="1" applyAlignment="1">
      <alignment horizontal="center"/>
    </xf>
    <xf numFmtId="0" fontId="0" fillId="7" borderId="3" xfId="0" applyFill="1" applyBorder="1"/>
    <xf numFmtId="164" fontId="0" fillId="7" borderId="0" xfId="0" applyNumberFormat="1" applyFill="1" applyAlignment="1">
      <alignment horizontal="center" wrapText="1"/>
    </xf>
    <xf numFmtId="0" fontId="1" fillId="7" borderId="0" xfId="0" applyFont="1" applyFill="1" applyAlignment="1">
      <alignment wrapText="1"/>
    </xf>
    <xf numFmtId="8" fontId="8" fillId="7" borderId="13" xfId="2" applyNumberFormat="1" applyFont="1" applyFill="1" applyBorder="1" applyProtection="1"/>
    <xf numFmtId="10" fontId="0" fillId="7" borderId="0" xfId="0" applyNumberFormat="1" applyFill="1" applyAlignment="1">
      <alignment horizontal="center" wrapText="1"/>
    </xf>
    <xf numFmtId="43" fontId="8" fillId="7" borderId="13" xfId="2" applyFont="1" applyFill="1" applyBorder="1" applyProtection="1"/>
    <xf numFmtId="10" fontId="0" fillId="3" borderId="2" xfId="0" applyNumberForma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1" fillId="0" borderId="0" xfId="4" applyFont="1">
      <alignment vertical="center"/>
    </xf>
    <xf numFmtId="164" fontId="0" fillId="0" borderId="0" xfId="0" applyNumberFormat="1"/>
    <xf numFmtId="7" fontId="0" fillId="0" borderId="0" xfId="0" applyNumberFormat="1"/>
    <xf numFmtId="0" fontId="0" fillId="0" borderId="7" xfId="0" applyBorder="1"/>
    <xf numFmtId="0" fontId="0" fillId="0" borderId="6" xfId="0" applyBorder="1"/>
    <xf numFmtId="164" fontId="0" fillId="7" borderId="1" xfId="0" applyNumberFormat="1" applyFill="1" applyBorder="1"/>
    <xf numFmtId="0" fontId="11" fillId="7" borderId="6" xfId="4" applyFont="1" applyFill="1" applyBorder="1">
      <alignment vertical="center"/>
    </xf>
    <xf numFmtId="0" fontId="11" fillId="7" borderId="0" xfId="4" applyFont="1" applyFill="1">
      <alignment vertical="center"/>
    </xf>
    <xf numFmtId="0" fontId="11" fillId="7" borderId="7" xfId="4" applyFont="1" applyFill="1" applyBorder="1">
      <alignment vertical="center"/>
    </xf>
    <xf numFmtId="0" fontId="14" fillId="7" borderId="6" xfId="4" applyFont="1" applyFill="1" applyBorder="1">
      <alignment vertical="center"/>
    </xf>
    <xf numFmtId="0" fontId="14" fillId="7" borderId="0" xfId="4" applyFont="1" applyFill="1">
      <alignment vertical="center"/>
    </xf>
    <xf numFmtId="164" fontId="0" fillId="3" borderId="2" xfId="0" applyNumberFormat="1" applyFill="1" applyBorder="1" applyAlignment="1">
      <alignment horizontal="right"/>
    </xf>
    <xf numFmtId="0" fontId="1" fillId="3" borderId="2" xfId="0" applyFont="1" applyFill="1" applyBorder="1" applyAlignment="1">
      <alignment horizontal="left" wrapText="1"/>
    </xf>
    <xf numFmtId="0" fontId="15" fillId="3" borderId="2" xfId="0" applyFont="1" applyFill="1" applyBorder="1"/>
    <xf numFmtId="0" fontId="1" fillId="7" borderId="6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164" fontId="0" fillId="3" borderId="0" xfId="0" applyNumberFormat="1" applyFill="1"/>
    <xf numFmtId="164" fontId="0" fillId="7" borderId="18" xfId="0" applyNumberFormat="1" applyFill="1" applyBorder="1" applyAlignment="1">
      <alignment horizontal="left"/>
    </xf>
    <xf numFmtId="164" fontId="0" fillId="7" borderId="7" xfId="0" applyNumberFormat="1" applyFill="1" applyBorder="1"/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/>
    </xf>
    <xf numFmtId="0" fontId="0" fillId="3" borderId="2" xfId="0" applyFill="1" applyBorder="1" applyAlignment="1">
      <alignment horizontal="center"/>
    </xf>
    <xf numFmtId="0" fontId="0" fillId="7" borderId="8" xfId="0" applyFill="1" applyBorder="1" applyAlignment="1">
      <alignment horizontal="left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7" borderId="6" xfId="0" applyFill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0" fillId="7" borderId="7" xfId="0" applyFill="1" applyBorder="1" applyAlignment="1">
      <alignment horizontal="left"/>
    </xf>
    <xf numFmtId="0" fontId="6" fillId="2" borderId="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7" borderId="0" xfId="0" applyFill="1" applyAlignment="1">
      <alignment horizontal="left" vertical="center"/>
    </xf>
    <xf numFmtId="0" fontId="0" fillId="7" borderId="7" xfId="0" applyFill="1" applyBorder="1" applyAlignment="1">
      <alignment horizontal="left" vertical="center"/>
    </xf>
    <xf numFmtId="0" fontId="6" fillId="2" borderId="6" xfId="0" applyFont="1" applyFill="1" applyBorder="1" applyAlignment="1">
      <alignment horizontal="center"/>
    </xf>
    <xf numFmtId="0" fontId="0" fillId="0" borderId="0" xfId="0"/>
    <xf numFmtId="0" fontId="0" fillId="0" borderId="7" xfId="0" applyBorder="1"/>
    <xf numFmtId="164" fontId="0" fillId="3" borderId="11" xfId="0" applyNumberForma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9" fillId="5" borderId="14" xfId="1" applyFont="1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</cellXfs>
  <cellStyles count="9">
    <cellStyle name="20% - Ênfase3 2" xfId="7" xr:uid="{00000000-0005-0000-0000-000000000000}"/>
    <cellStyle name="20% - Ênfase6 2" xfId="8" xr:uid="{00000000-0005-0000-0000-000001000000}"/>
    <cellStyle name="Bom 2" xfId="6" xr:uid="{00000000-0005-0000-0000-000002000000}"/>
    <cellStyle name="Neutra 2" xfId="5" xr:uid="{00000000-0005-0000-0000-000003000000}"/>
    <cellStyle name="Normal" xfId="0" builtinId="0"/>
    <cellStyle name="Normal 2" xfId="1" xr:uid="{00000000-0005-0000-0000-000005000000}"/>
    <cellStyle name="Normal 3" xfId="4" xr:uid="{00000000-0005-0000-0000-000006000000}"/>
    <cellStyle name="Porcentagem 2" xfId="3" xr:uid="{00000000-0005-0000-0000-000007000000}"/>
    <cellStyle name="Vírgula 2" xfId="2" xr:uid="{00000000-0005-0000-0000-000008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Fluxo de Caixa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'Análise econômica'!$F$7</c:f>
              <c:strCache>
                <c:ptCount val="1"/>
                <c:pt idx="0">
                  <c:v>Fluxo de Caixa Livre (FCL)</c:v>
                </c:pt>
              </c:strCache>
            </c:strRef>
          </c:tx>
          <c:invertIfNegative val="0"/>
          <c:val>
            <c:numRef>
              <c:f>'Análise econômica'!$F$8:$F$18</c:f>
              <c:numCache>
                <c:formatCode>"R$"#,##0.00_);\("R$"#,##0.00\)</c:formatCode>
                <c:ptCount val="11"/>
                <c:pt idx="0">
                  <c:v>-123140</c:v>
                </c:pt>
                <c:pt idx="1">
                  <c:v>1806.6824999999994</c:v>
                </c:pt>
                <c:pt idx="2">
                  <c:v>1806.6824999999994</c:v>
                </c:pt>
                <c:pt idx="3">
                  <c:v>1806.6824999999994</c:v>
                </c:pt>
                <c:pt idx="4">
                  <c:v>1806.6824999999994</c:v>
                </c:pt>
                <c:pt idx="5">
                  <c:v>1806.6824999999994</c:v>
                </c:pt>
                <c:pt idx="6">
                  <c:v>1806.6824999999994</c:v>
                </c:pt>
                <c:pt idx="7">
                  <c:v>1806.6824999999994</c:v>
                </c:pt>
                <c:pt idx="8">
                  <c:v>1806.6824999999994</c:v>
                </c:pt>
                <c:pt idx="9">
                  <c:v>1806.6824999999994</c:v>
                </c:pt>
                <c:pt idx="10">
                  <c:v>1806.6824999999994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24-9A42-AB76-956A1F45E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014144"/>
        <c:axId val="481015680"/>
      </c:barChart>
      <c:catAx>
        <c:axId val="481014144"/>
        <c:scaling>
          <c:orientation val="minMax"/>
        </c:scaling>
        <c:delete val="0"/>
        <c:axPos val="b"/>
        <c:majorTickMark val="none"/>
        <c:minorTickMark val="none"/>
        <c:tickLblPos val="nextTo"/>
        <c:crossAx val="481015680"/>
        <c:crosses val="autoZero"/>
        <c:auto val="1"/>
        <c:lblAlgn val="ctr"/>
        <c:lblOffset val="100"/>
        <c:noMultiLvlLbl val="0"/>
      </c:catAx>
      <c:valAx>
        <c:axId val="481015680"/>
        <c:scaling>
          <c:orientation val="minMax"/>
        </c:scaling>
        <c:delete val="0"/>
        <c:axPos val="l"/>
        <c:majorGridlines/>
        <c:numFmt formatCode="&quot;R$&quot;#,##0.00_);\(&quot;R$&quot;#,##0.00\)" sourceLinked="1"/>
        <c:majorTickMark val="none"/>
        <c:minorTickMark val="none"/>
        <c:tickLblPos val="nextTo"/>
        <c:crossAx val="481014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Simula&#231;&#227;o!A1"/><Relationship Id="rId3" Type="http://schemas.openxmlformats.org/officeDocument/2006/relationships/hyperlink" Target="#Hardware!A1"/><Relationship Id="rId7" Type="http://schemas.openxmlformats.org/officeDocument/2006/relationships/hyperlink" Target="#'An&#225;lise econ&#244;mica'!A1"/><Relationship Id="rId2" Type="http://schemas.openxmlformats.org/officeDocument/2006/relationships/hyperlink" Target="#Software!A1"/><Relationship Id="rId1" Type="http://schemas.openxmlformats.org/officeDocument/2006/relationships/image" Target="../media/image1.png"/><Relationship Id="rId6" Type="http://schemas.openxmlformats.org/officeDocument/2006/relationships/hyperlink" Target="#Precifica&#231;&#227;o!A1"/><Relationship Id="rId5" Type="http://schemas.openxmlformats.org/officeDocument/2006/relationships/hyperlink" Target="#'Custo Total'!A1"/><Relationship Id="rId4" Type="http://schemas.openxmlformats.org/officeDocument/2006/relationships/hyperlink" Target="#Componentes!A1"/><Relationship Id="rId9" Type="http://schemas.openxmlformats.org/officeDocument/2006/relationships/hyperlink" Target="#Resum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stru&#231;&#245;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hyperlink" Target="#Instru&#231;&#245;es!A1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stru&#231;&#245;es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stru&#231;&#245;es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stru&#231;&#245;e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stru&#231;&#245;e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Instru&#231;&#245;e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stru&#231;&#245;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29</xdr:row>
      <xdr:rowOff>104774</xdr:rowOff>
    </xdr:from>
    <xdr:to>
      <xdr:col>10</xdr:col>
      <xdr:colOff>95250</xdr:colOff>
      <xdr:row>35</xdr:row>
      <xdr:rowOff>5042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7584" t="10216" r="55732" b="82195"/>
        <a:stretch/>
      </xdr:blipFill>
      <xdr:spPr bwMode="auto">
        <a:xfrm>
          <a:off x="409575" y="4714874"/>
          <a:ext cx="5781675" cy="86677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85725</xdr:colOff>
      <xdr:row>1</xdr:row>
      <xdr:rowOff>104775</xdr:rowOff>
    </xdr:from>
    <xdr:to>
      <xdr:col>18</xdr:col>
      <xdr:colOff>152399</xdr:colOff>
      <xdr:row>37</xdr:row>
      <xdr:rowOff>47625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672107" y="306481"/>
          <a:ext cx="3630145" cy="5646644"/>
          <a:chOff x="8639175" y="276225"/>
          <a:chExt cx="3724274" cy="5819775"/>
        </a:xfrm>
      </xdr:grpSpPr>
      <xdr:sp macro="" textlink="">
        <xdr:nvSpPr>
          <xdr:cNvPr id="3" name="Retângulo 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8648698" y="990600"/>
            <a:ext cx="2667001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Calcular</a:t>
            </a:r>
            <a:r>
              <a:rPr lang="pt-BR" sz="1100" b="1" baseline="0">
                <a:solidFill>
                  <a:sysClr val="windowText" lastClr="000000"/>
                </a:solidFill>
              </a:rPr>
              <a:t> Custo Desenvolvimento Software</a:t>
            </a:r>
            <a:endParaRPr lang="pt-BR" sz="11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" name="Retângul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639175" y="1685925"/>
            <a:ext cx="2667001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Calcular</a:t>
            </a:r>
            <a:r>
              <a:rPr lang="pt-BR" sz="1100" b="1" baseline="0">
                <a:solidFill>
                  <a:sysClr val="windowText" lastClr="000000"/>
                </a:solidFill>
              </a:rPr>
              <a:t> Custo Desenvolvimento Hardware</a:t>
            </a:r>
            <a:endParaRPr lang="pt-BR" sz="11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tângulo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8991600" y="2352675"/>
            <a:ext cx="18954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Calcular</a:t>
            </a:r>
            <a:r>
              <a:rPr lang="pt-BR" sz="1100" b="1" baseline="0">
                <a:solidFill>
                  <a:sysClr val="windowText" lastClr="000000"/>
                </a:solidFill>
              </a:rPr>
              <a:t> Custo Componentes</a:t>
            </a:r>
            <a:endParaRPr lang="pt-BR" sz="11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tângulo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201150" y="3048000"/>
            <a:ext cx="134302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Calcular</a:t>
            </a:r>
            <a:r>
              <a:rPr lang="pt-BR" sz="1100" b="1" baseline="0">
                <a:solidFill>
                  <a:sysClr val="windowText" lastClr="000000"/>
                </a:solidFill>
              </a:rPr>
              <a:t> Custo Total</a:t>
            </a:r>
            <a:endParaRPr lang="pt-BR" sz="11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620251" y="276225"/>
            <a:ext cx="571500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Início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9382125" y="3752850"/>
            <a:ext cx="9810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Precificação</a:t>
            </a:r>
          </a:p>
        </xdr:txBody>
      </xdr:sp>
      <xdr:sp macro="" textlink="">
        <xdr:nvSpPr>
          <xdr:cNvPr id="13" name="Retângulo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210676" y="4457700"/>
            <a:ext cx="1371600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Análise Econômica</a:t>
            </a:r>
          </a:p>
        </xdr:txBody>
      </xdr:sp>
      <xdr:sp macro="" textlink="">
        <xdr:nvSpPr>
          <xdr:cNvPr id="14" name="Retângulo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9505950" y="5143500"/>
            <a:ext cx="80962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Simulação</a:t>
            </a:r>
          </a:p>
        </xdr:txBody>
      </xdr:sp>
      <xdr:sp macro="" textlink="">
        <xdr:nvSpPr>
          <xdr:cNvPr id="4" name="Seta para baix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9782175" y="647700"/>
            <a:ext cx="228600" cy="238125"/>
          </a:xfrm>
          <a:prstGeom prst="downArrow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Seta para baix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9782175" y="1352550"/>
            <a:ext cx="228600" cy="238125"/>
          </a:xfrm>
          <a:prstGeom prst="downArrow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Seta para baix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9772650" y="2047875"/>
            <a:ext cx="228600" cy="238125"/>
          </a:xfrm>
          <a:prstGeom prst="downArrow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Seta para baixo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9763125" y="2705100"/>
            <a:ext cx="228600" cy="238125"/>
          </a:xfrm>
          <a:prstGeom prst="downArrow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Seta para baix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9763125" y="3409950"/>
            <a:ext cx="228600" cy="238125"/>
          </a:xfrm>
          <a:prstGeom prst="downArrow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Seta para baix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9763125" y="4114800"/>
            <a:ext cx="228600" cy="238125"/>
          </a:xfrm>
          <a:prstGeom prst="downArrow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Seta para baix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9772650" y="4819650"/>
            <a:ext cx="228600" cy="238125"/>
          </a:xfrm>
          <a:prstGeom prst="downArrow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9677400" y="5819775"/>
            <a:ext cx="4476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Fim</a:t>
            </a:r>
          </a:p>
        </xdr:txBody>
      </xdr:sp>
      <xdr:sp macro="" textlink="">
        <xdr:nvSpPr>
          <xdr:cNvPr id="22" name="Seta para baix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9772650" y="5486400"/>
            <a:ext cx="228600" cy="238125"/>
          </a:xfrm>
          <a:prstGeom prst="downArrow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Retângulo 2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0848974" y="5829300"/>
            <a:ext cx="15144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Ver</a:t>
            </a:r>
            <a:r>
              <a:rPr lang="pt-BR" sz="1100" b="1" baseline="0">
                <a:solidFill>
                  <a:sysClr val="windowText" lastClr="000000"/>
                </a:solidFill>
              </a:rPr>
              <a:t> resumo dos custos</a:t>
            </a:r>
            <a:endParaRPr lang="pt-BR" sz="11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" name="Seta para a esquerda e para a direita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0296525" y="5867400"/>
            <a:ext cx="419100" cy="209550"/>
          </a:xfrm>
          <a:prstGeom prst="leftRightArrow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38</xdr:row>
      <xdr:rowOff>28575</xdr:rowOff>
    </xdr:from>
    <xdr:to>
      <xdr:col>7</xdr:col>
      <xdr:colOff>95250</xdr:colOff>
      <xdr:row>39</xdr:row>
      <xdr:rowOff>123825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6905625" y="6610350"/>
          <a:ext cx="942975" cy="266700"/>
          <a:chOff x="1314450" y="4838700"/>
          <a:chExt cx="942975" cy="2667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314450" y="4838700"/>
            <a:ext cx="9429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Voltar</a:t>
            </a:r>
            <a:r>
              <a:rPr lang="pt-BR" sz="1100" baseline="0">
                <a:solidFill>
                  <a:sysClr val="windowText" lastClr="000000"/>
                </a:solidFill>
              </a:rPr>
              <a:t> 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" name="Seta em curva para a esquerda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905000" y="4867275"/>
            <a:ext cx="190500" cy="209550"/>
          </a:xfrm>
          <a:prstGeom prst="curved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438150</xdr:colOff>
      <xdr:row>5</xdr:row>
      <xdr:rowOff>33337</xdr:rowOff>
    </xdr:from>
    <xdr:ext cx="3905250" cy="4628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4095750" y="852487"/>
              <a:ext cx="3905250" cy="462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𝐸𝑠𝑓𝑜𝑟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ç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𝑜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𝑎𝑝𝑙𝑖𝑐𝑎𝑑𝑜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d>
                      <m:d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</m:d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</m:sub>
                    </m:sSub>
                    <m:sSup>
                      <m:sSup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pt-BR" sz="1100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𝐾𝐿𝑂𝐶</m:t>
                        </m:r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sSub>
                          <m:sSubPr>
                            <m:ctrlPr>
                              <a:rPr lang="pt-B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𝑏</m:t>
                            </m:r>
                          </m:sub>
                        </m:sSub>
                      </m:sup>
                    </m:sSup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(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𝑝𝑒𝑠𝑠𝑜𝑎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−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𝑚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ê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𝑠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pt-BR" sz="11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pt-BR" sz="1100"/>
            </a:p>
          </xdr:txBody>
        </xdr:sp>
      </mc:Choice>
      <mc:Fallback xmlns="">
        <xdr:sp macro="" textlink="">
          <xdr:nvSpPr>
            <xdr:cNvPr id="3" name="CaixaDeTexto 2"/>
            <xdr:cNvSpPr txBox="1"/>
          </xdr:nvSpPr>
          <xdr:spPr>
            <a:xfrm>
              <a:off x="4095750" y="852487"/>
              <a:ext cx="3905250" cy="462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𝐸𝑠𝑓𝑜𝑟ç𝑜 𝑎𝑝𝑙𝑖𝑐𝑎𝑑𝑜 (𝐸)= 𝑎_𝑏 〖(𝐾𝐿𝑂𝐶)〗^(𝑏_𝑏 )  (𝑝𝑒𝑠𝑠𝑜𝑎−𝑚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ê𝑠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" 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pt-BR" sz="1100"/>
            </a:p>
          </xdr:txBody>
        </xdr:sp>
      </mc:Fallback>
    </mc:AlternateContent>
    <xdr:clientData/>
  </xdr:oneCellAnchor>
  <xdr:oneCellAnchor>
    <xdr:from>
      <xdr:col>6</xdr:col>
      <xdr:colOff>381000</xdr:colOff>
      <xdr:row>6</xdr:row>
      <xdr:rowOff>185737</xdr:rowOff>
    </xdr:from>
    <xdr:ext cx="3657600" cy="457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4038600" y="1166812"/>
              <a:ext cx="3657600" cy="457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𝑇𝑒𝑚𝑝𝑜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𝑑𝑒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𝑑𝑒𝑠𝑒𝑛𝑣𝑜𝑙𝑣𝑖𝑚𝑒𝑛𝑡𝑜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d>
                      <m:d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𝐷</m:t>
                        </m:r>
                      </m:e>
                    </m:d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</m:sub>
                    </m:sSub>
                    <m:sSup>
                      <m:sSup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p>
                        <m:sSub>
                          <m:sSubPr>
                            <m:ctrlPr>
                              <a:rPr lang="pt-B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𝑏</m:t>
                            </m:r>
                          </m:sub>
                        </m:sSub>
                      </m:sup>
                    </m:sSup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(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𝑚𝑒𝑠𝑒𝑠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pt-BR" sz="11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pt-BR" sz="1100"/>
            </a:p>
          </xdr:txBody>
        </xdr:sp>
      </mc:Choice>
      <mc:Fallback xmlns="">
        <xdr:sp macro="" textlink="">
          <xdr:nvSpPr>
            <xdr:cNvPr id="4" name="CaixaDeTexto 3"/>
            <xdr:cNvSpPr txBox="1"/>
          </xdr:nvSpPr>
          <xdr:spPr>
            <a:xfrm>
              <a:off x="4038600" y="1166812"/>
              <a:ext cx="3657600" cy="457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𝑇𝑒𝑚𝑝𝑜 𝑑𝑒 𝑑𝑒𝑠𝑒𝑛𝑣𝑜𝑙𝑣𝑖𝑚𝑒𝑛𝑡𝑜 (𝐷)= 𝑐_𝑏 𝐸^(𝑑_𝑏 )  (𝑚𝑒𝑠𝑒𝑠)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" 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pt-BR" sz="1100"/>
            </a:p>
          </xdr:txBody>
        </xdr:sp>
      </mc:Fallback>
    </mc:AlternateContent>
    <xdr:clientData/>
  </xdr:oneCellAnchor>
  <xdr:oneCellAnchor>
    <xdr:from>
      <xdr:col>6</xdr:col>
      <xdr:colOff>352425</xdr:colOff>
      <xdr:row>9</xdr:row>
      <xdr:rowOff>0</xdr:rowOff>
    </xdr:from>
    <xdr:ext cx="2343150" cy="5803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4010025" y="1452562"/>
              <a:ext cx="2343150" cy="5803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𝑃𝑒𝑠𝑠𝑜𝑎𝑙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d>
                      <m:d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</m:e>
                    </m:d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 </m:t>
                    </m:r>
                    <m:f>
                      <m:f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num>
                      <m:den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𝐷</m:t>
                        </m:r>
                      </m:den>
                    </m:f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(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𝑛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ú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𝑚𝑒𝑟𝑜</m:t>
                    </m:r>
                    <m:r>
                      <a:rPr lang="pt-BR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pt-BR" sz="11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pt-BR" sz="1100"/>
            </a:p>
          </xdr:txBody>
        </xdr:sp>
      </mc:Choice>
      <mc:Fallback xmlns="">
        <xdr:sp macro="" textlink="">
          <xdr:nvSpPr>
            <xdr:cNvPr id="5" name="CaixaDeTexto 4"/>
            <xdr:cNvSpPr txBox="1"/>
          </xdr:nvSpPr>
          <xdr:spPr>
            <a:xfrm>
              <a:off x="4010025" y="1452562"/>
              <a:ext cx="2343150" cy="5803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𝑃𝑒𝑠𝑠𝑜𝑎𝑙 (𝑃)=  𝐸/𝐷  (𝑛ú𝑚𝑒𝑟𝑜)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" 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pt-BR" sz="1100"/>
            </a:p>
          </xdr:txBody>
        </xdr:sp>
      </mc:Fallback>
    </mc:AlternateContent>
    <xdr:clientData/>
  </xdr:oneCellAnchor>
  <xdr:twoCellAnchor>
    <xdr:from>
      <xdr:col>8</xdr:col>
      <xdr:colOff>0</xdr:colOff>
      <xdr:row>16</xdr:row>
      <xdr:rowOff>0</xdr:rowOff>
    </xdr:from>
    <xdr:to>
      <xdr:col>8</xdr:col>
      <xdr:colOff>161925</xdr:colOff>
      <xdr:row>16</xdr:row>
      <xdr:rowOff>180975</xdr:rowOff>
    </xdr:to>
    <xdr:pic>
      <xdr:nvPicPr>
        <xdr:cNvPr id="6" name="Imagem 78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800350"/>
          <a:ext cx="1619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16</xdr:row>
      <xdr:rowOff>0</xdr:rowOff>
    </xdr:from>
    <xdr:to>
      <xdr:col>9</xdr:col>
      <xdr:colOff>152400</xdr:colOff>
      <xdr:row>16</xdr:row>
      <xdr:rowOff>180975</xdr:rowOff>
    </xdr:to>
    <xdr:pic>
      <xdr:nvPicPr>
        <xdr:cNvPr id="7" name="Imagem 7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800350"/>
          <a:ext cx="1524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142875</xdr:colOff>
      <xdr:row>16</xdr:row>
      <xdr:rowOff>180975</xdr:rowOff>
    </xdr:to>
    <xdr:pic>
      <xdr:nvPicPr>
        <xdr:cNvPr id="8" name="Imagem 76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80035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16</xdr:row>
      <xdr:rowOff>0</xdr:rowOff>
    </xdr:from>
    <xdr:to>
      <xdr:col>11</xdr:col>
      <xdr:colOff>161925</xdr:colOff>
      <xdr:row>16</xdr:row>
      <xdr:rowOff>180975</xdr:rowOff>
    </xdr:to>
    <xdr:pic>
      <xdr:nvPicPr>
        <xdr:cNvPr id="9" name="Imagem 74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800350"/>
          <a:ext cx="1619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11</xdr:row>
          <xdr:rowOff>28575</xdr:rowOff>
        </xdr:from>
        <xdr:to>
          <xdr:col>2</xdr:col>
          <xdr:colOff>266700</xdr:colOff>
          <xdr:row>12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419100</xdr:colOff>
      <xdr:row>34</xdr:row>
      <xdr:rowOff>85725</xdr:rowOff>
    </xdr:from>
    <xdr:to>
      <xdr:col>6</xdr:col>
      <xdr:colOff>533400</xdr:colOff>
      <xdr:row>36</xdr:row>
      <xdr:rowOff>0</xdr:rowOff>
    </xdr:to>
    <xdr:grpSp>
      <xdr:nvGrpSpPr>
        <xdr:cNvPr id="11" name="Grup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3571875" y="5800725"/>
          <a:ext cx="942975" cy="247650"/>
          <a:chOff x="1314450" y="4838700"/>
          <a:chExt cx="942975" cy="266700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1314450" y="4838700"/>
            <a:ext cx="9429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Voltar</a:t>
            </a:r>
            <a:r>
              <a:rPr lang="pt-BR" sz="1100" baseline="0">
                <a:solidFill>
                  <a:sysClr val="windowText" lastClr="000000"/>
                </a:solidFill>
              </a:rPr>
              <a:t> 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" name="Seta em curva para a esquerda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1905000" y="4867275"/>
            <a:ext cx="190500" cy="209550"/>
          </a:xfrm>
          <a:prstGeom prst="curved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228599</xdr:colOff>
      <xdr:row>12</xdr:row>
      <xdr:rowOff>23812</xdr:rowOff>
    </xdr:from>
    <xdr:ext cx="3324225" cy="5031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6010274" y="2062162"/>
              <a:ext cx="3324225" cy="5031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/>
                      </a:rPr>
                      <m:t>𝑑𝑒𝑠𝐻𝑊</m:t>
                    </m:r>
                    <m:r>
                      <a:rPr lang="pt-BR" sz="1100" b="0" i="1">
                        <a:latin typeface="Cambria Math"/>
                      </a:rPr>
                      <m:t>= </m:t>
                    </m:r>
                    <m:nary>
                      <m:naryPr>
                        <m:chr m:val="∑"/>
                        <m:supHide m:val="on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pt-BR" sz="1100" b="0" i="1">
                            <a:latin typeface="Cambria Math"/>
                          </a:rPr>
                          <m:t>𝑖</m:t>
                        </m:r>
                        <m:r>
                          <a:rPr lang="pt-BR" sz="1100" b="0" i="1">
                            <a:latin typeface="Cambria Math"/>
                          </a:rPr>
                          <m:t> ∈ </m:t>
                        </m:r>
                        <m:r>
                          <a:rPr lang="pt-BR" sz="1100" b="0" i="1">
                            <a:latin typeface="Cambria Math"/>
                            <a:ea typeface="Cambria Math"/>
                          </a:rPr>
                          <m:t>𝑎𝑡𝑖𝑣𝑖𝑑𝑎𝑑𝑒</m:t>
                        </m:r>
                      </m:sub>
                      <m:sup/>
                      <m:e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/>
                              </a:rPr>
                              <m:t>𝐶𝑢𝑠𝑡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/>
                              </a:rPr>
                              <m:t>𝑎𝑡𝑖𝑣𝑖𝑑𝑎𝑑𝑒</m:t>
                            </m:r>
                          </m:sub>
                        </m:sSub>
                      </m:e>
                    </m:nary>
                    <m:r>
                      <a:rPr lang="pt-BR" sz="1100" b="0" i="1">
                        <a:latin typeface="Cambria Math"/>
                      </a:rPr>
                      <m:t>. </m:t>
                    </m:r>
                    <m:sSub>
                      <m:sSub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/>
                          </a:rPr>
                          <m:t>𝑇</m:t>
                        </m:r>
                      </m:e>
                      <m:sub>
                        <m:r>
                          <a:rPr lang="pt-BR" sz="1100" b="0" i="1">
                            <a:latin typeface="Cambria Math"/>
                          </a:rPr>
                          <m:t>h𝑜𝑟𝑎𝑠</m:t>
                        </m:r>
                      </m:sub>
                    </m:sSub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6010274" y="2062162"/>
              <a:ext cx="3324225" cy="5031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0" i="0">
                  <a:latin typeface="Cambria Math"/>
                </a:rPr>
                <a:t>𝑑𝑒𝑠𝐻𝑊= ∑8_(𝑖 </a:t>
              </a:r>
              <a:r>
                <a:rPr lang="pt-BR" sz="1100" b="0" i="0">
                  <a:latin typeface="Cambria Math"/>
                  <a:ea typeface="Cambria Math"/>
                </a:rPr>
                <a:t>∈ 𝑎𝑡𝑖𝑣𝑖𝑑𝑎𝑑𝑒)▒〖</a:t>
              </a:r>
              <a:r>
                <a:rPr lang="pt-BR" sz="1100" b="0" i="0">
                  <a:latin typeface="Cambria Math"/>
                </a:rPr>
                <a:t>𝐶𝑢𝑠𝑡〗_𝑎𝑡𝑖𝑣𝑖𝑑𝑎𝑑𝑒 . 𝑇_ℎ𝑜𝑟𝑎𝑠</a:t>
              </a:r>
              <a:endParaRPr lang="pt-B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2657475</xdr:colOff>
          <xdr:row>17</xdr:row>
          <xdr:rowOff>161925</xdr:rowOff>
        </xdr:from>
        <xdr:to>
          <xdr:col>0</xdr:col>
          <xdr:colOff>3200400</xdr:colOff>
          <xdr:row>18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2667000</xdr:colOff>
          <xdr:row>32</xdr:row>
          <xdr:rowOff>9525</xdr:rowOff>
        </xdr:from>
        <xdr:to>
          <xdr:col>0</xdr:col>
          <xdr:colOff>3200400</xdr:colOff>
          <xdr:row>33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523875</xdr:colOff>
      <xdr:row>34</xdr:row>
      <xdr:rowOff>28575</xdr:rowOff>
    </xdr:from>
    <xdr:to>
      <xdr:col>13</xdr:col>
      <xdr:colOff>323850</xdr:colOff>
      <xdr:row>35</xdr:row>
      <xdr:rowOff>123825</xdr:rowOff>
    </xdr:to>
    <xdr:grpSp>
      <xdr:nvGrpSpPr>
        <xdr:cNvPr id="8" name="Grup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0287000" y="5810250"/>
          <a:ext cx="942975" cy="266700"/>
          <a:chOff x="1314450" y="4838700"/>
          <a:chExt cx="942975" cy="266700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314450" y="4838700"/>
            <a:ext cx="9429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Voltar</a:t>
            </a:r>
            <a:r>
              <a:rPr lang="pt-BR" sz="1100" baseline="0">
                <a:solidFill>
                  <a:sysClr val="windowText" lastClr="000000"/>
                </a:solidFill>
              </a:rPr>
              <a:t> 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Seta em curva para a esquerda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905000" y="4867275"/>
            <a:ext cx="190500" cy="209550"/>
          </a:xfrm>
          <a:prstGeom prst="curved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19</xdr:row>
          <xdr:rowOff>0</xdr:rowOff>
        </xdr:from>
        <xdr:to>
          <xdr:col>2</xdr:col>
          <xdr:colOff>0</xdr:colOff>
          <xdr:row>20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35</xdr:row>
          <xdr:rowOff>152400</xdr:rowOff>
        </xdr:from>
        <xdr:to>
          <xdr:col>1</xdr:col>
          <xdr:colOff>638175</xdr:colOff>
          <xdr:row>36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504825</xdr:colOff>
      <xdr:row>10</xdr:row>
      <xdr:rowOff>157162</xdr:rowOff>
    </xdr:from>
    <xdr:ext cx="2705100" cy="5216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4943475" y="1919287"/>
              <a:ext cx="2705100" cy="5216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/>
                      </a:rPr>
                      <m:t>𝑐𝑢𝑠𝑡𝑃𝑟𝑜𝑑</m:t>
                    </m:r>
                    <m:r>
                      <a:rPr lang="pt-BR" sz="1100" b="0" i="1">
                        <a:latin typeface="Cambria Math"/>
                      </a:rPr>
                      <m:t>= </m:t>
                    </m:r>
                    <m:nary>
                      <m:naryPr>
                        <m:chr m:val="∑"/>
                        <m:supHide m:val="on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pt-BR" sz="1100" b="0" i="1">
                            <a:latin typeface="Cambria Math"/>
                          </a:rPr>
                          <m:t>𝑐</m:t>
                        </m:r>
                        <m:r>
                          <a:rPr lang="pt-BR" sz="1100" b="0" i="1">
                            <a:latin typeface="Cambria Math"/>
                          </a:rPr>
                          <m:t> ∈</m:t>
                        </m:r>
                        <m:r>
                          <a:rPr lang="pt-BR" sz="1100" b="0" i="1">
                            <a:latin typeface="Cambria Math"/>
                            <a:ea typeface="Cambria Math"/>
                          </a:rPr>
                          <m:t>𝑝𝑎𝑟𝑡𝑒</m:t>
                        </m:r>
                      </m:sub>
                      <m:sup/>
                      <m:e>
                        <m:r>
                          <a:rPr lang="pt-BR" sz="1100" b="0" i="1">
                            <a:latin typeface="Cambria Math"/>
                          </a:rPr>
                          <m:t>𝑝</m:t>
                        </m:r>
                        <m:r>
                          <a:rPr lang="pt-BR" sz="1100" b="0" i="1">
                            <a:latin typeface="Cambria Math"/>
                          </a:rPr>
                          <m:t>.</m:t>
                        </m:r>
                        <m:r>
                          <a:rPr lang="pt-BR" sz="1100" b="0" i="1">
                            <a:latin typeface="Cambria Math"/>
                          </a:rPr>
                          <m:t>𝑐𝑢𝑠𝑡𝑃𝑟𝑜𝑑</m:t>
                        </m:r>
                      </m:e>
                    </m:nary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4943475" y="1919287"/>
              <a:ext cx="2705100" cy="5216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0" i="0">
                  <a:latin typeface="Cambria Math"/>
                </a:rPr>
                <a:t>𝑐𝑢𝑠𝑡𝑃𝑟𝑜𝑑= ∑8_(𝑐 </a:t>
              </a:r>
              <a:r>
                <a:rPr lang="pt-BR" sz="1100" b="0" i="0">
                  <a:latin typeface="Cambria Math"/>
                  <a:ea typeface="Cambria Math"/>
                </a:rPr>
                <a:t>∈𝑝𝑎𝑟𝑡𝑒)▒〖</a:t>
              </a:r>
              <a:r>
                <a:rPr lang="pt-BR" sz="1100" b="0" i="0">
                  <a:latin typeface="Cambria Math"/>
                </a:rPr>
                <a:t>𝑝.𝑐𝑢𝑠𝑡𝑃𝑟𝑜𝑑〗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12</xdr:col>
      <xdr:colOff>304800</xdr:colOff>
      <xdr:row>37</xdr:row>
      <xdr:rowOff>85725</xdr:rowOff>
    </xdr:from>
    <xdr:to>
      <xdr:col>14</xdr:col>
      <xdr:colOff>28575</xdr:colOff>
      <xdr:row>39</xdr:row>
      <xdr:rowOff>9525</xdr:rowOff>
    </xdr:to>
    <xdr:grpSp>
      <xdr:nvGrpSpPr>
        <xdr:cNvPr id="5" name="Grup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1315700" y="6400800"/>
          <a:ext cx="981075" cy="266700"/>
          <a:chOff x="1314450" y="4838700"/>
          <a:chExt cx="942975" cy="2667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1314450" y="4838700"/>
            <a:ext cx="9429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Voltar</a:t>
            </a:r>
            <a:r>
              <a:rPr lang="pt-BR" sz="1100" baseline="0">
                <a:solidFill>
                  <a:sysClr val="windowText" lastClr="000000"/>
                </a:solidFill>
              </a:rPr>
              <a:t> 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Seta em curva para a esquerd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05000" y="4867275"/>
            <a:ext cx="190500" cy="209550"/>
          </a:xfrm>
          <a:prstGeom prst="curved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161925</xdr:rowOff>
        </xdr:from>
        <xdr:to>
          <xdr:col>1</xdr:col>
          <xdr:colOff>723900</xdr:colOff>
          <xdr:row>19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247650</xdr:colOff>
      <xdr:row>18</xdr:row>
      <xdr:rowOff>19050</xdr:rowOff>
    </xdr:from>
    <xdr:to>
      <xdr:col>3</xdr:col>
      <xdr:colOff>1190625</xdr:colOff>
      <xdr:row>19</xdr:row>
      <xdr:rowOff>114300</xdr:rowOff>
    </xdr:to>
    <xdr:grpSp>
      <xdr:nvGrpSpPr>
        <xdr:cNvPr id="6" name="Grup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857750" y="2962275"/>
          <a:ext cx="942975" cy="266700"/>
          <a:chOff x="1314450" y="4838700"/>
          <a:chExt cx="942975" cy="266700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1314450" y="4838700"/>
            <a:ext cx="9429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Voltar</a:t>
            </a:r>
            <a:r>
              <a:rPr lang="pt-BR" sz="1100" baseline="0">
                <a:solidFill>
                  <a:sysClr val="windowText" lastClr="000000"/>
                </a:solidFill>
              </a:rPr>
              <a:t> 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" name="Seta em curva para a esquerda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1905000" y="4867275"/>
            <a:ext cx="190500" cy="209550"/>
          </a:xfrm>
          <a:prstGeom prst="curved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71437</xdr:colOff>
      <xdr:row>11</xdr:row>
      <xdr:rowOff>61912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5414962" y="1928812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/>
                      </a:rPr>
                      <m:t>𝑌</m:t>
                    </m:r>
                    <m:r>
                      <a:rPr lang="pt-BR" sz="1100" b="0" i="1">
                        <a:latin typeface="Cambria Math"/>
                      </a:rPr>
                      <m:t>=</m:t>
                    </m:r>
                    <m:r>
                      <a:rPr lang="pt-BR" sz="1100" b="0" i="1">
                        <a:latin typeface="Cambria Math"/>
                      </a:rPr>
                      <m:t>𝑎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100" b="0" i="1">
                            <a:latin typeface="Cambria Math"/>
                          </a:rPr>
                          <m:t>𝑋</m:t>
                        </m:r>
                      </m:e>
                      <m:sup>
                        <m:r>
                          <a:rPr lang="pt-BR" sz="1100" b="0" i="1">
                            <a:latin typeface="Cambria Math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5414962" y="1928812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pt-BR" sz="1100" b="0" i="0">
                  <a:latin typeface="Cambria Math"/>
                </a:rPr>
                <a:t>𝑌=𝑎𝑋^𝑏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4</xdr:col>
      <xdr:colOff>2105025</xdr:colOff>
      <xdr:row>56</xdr:row>
      <xdr:rowOff>9525</xdr:rowOff>
    </xdr:from>
    <xdr:to>
      <xdr:col>5</xdr:col>
      <xdr:colOff>0</xdr:colOff>
      <xdr:row>57</xdr:row>
      <xdr:rowOff>114300</xdr:rowOff>
    </xdr:to>
    <xdr:grpSp>
      <xdr:nvGrpSpPr>
        <xdr:cNvPr id="6" name="Grup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524750" y="9172575"/>
          <a:ext cx="942975" cy="266700"/>
          <a:chOff x="1314450" y="4838700"/>
          <a:chExt cx="942975" cy="266700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314450" y="4838700"/>
            <a:ext cx="9429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Voltar</a:t>
            </a:r>
            <a:r>
              <a:rPr lang="pt-BR" sz="1100" baseline="0">
                <a:solidFill>
                  <a:sysClr val="windowText" lastClr="000000"/>
                </a:solidFill>
              </a:rPr>
              <a:t> 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" name="Seta em curva para a esquerda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905000" y="4867275"/>
            <a:ext cx="190500" cy="209550"/>
          </a:xfrm>
          <a:prstGeom prst="curved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504824</xdr:colOff>
      <xdr:row>4</xdr:row>
      <xdr:rowOff>47624</xdr:rowOff>
    </xdr:from>
    <xdr:to>
      <xdr:col>24</xdr:col>
      <xdr:colOff>523875</xdr:colOff>
      <xdr:row>18</xdr:row>
      <xdr:rowOff>19050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1428750</xdr:colOff>
      <xdr:row>17</xdr:row>
      <xdr:rowOff>114300</xdr:rowOff>
    </xdr:from>
    <xdr:to>
      <xdr:col>2</xdr:col>
      <xdr:colOff>314325</xdr:colOff>
      <xdr:row>20</xdr:row>
      <xdr:rowOff>38100</xdr:rowOff>
    </xdr:to>
    <xdr:grpSp>
      <xdr:nvGrpSpPr>
        <xdr:cNvPr id="4" name="Grup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990975" y="3676650"/>
          <a:ext cx="942975" cy="266700"/>
          <a:chOff x="1314450" y="4838700"/>
          <a:chExt cx="942975" cy="2667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314450" y="4838700"/>
            <a:ext cx="9429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Voltar</a:t>
            </a:r>
            <a:r>
              <a:rPr lang="pt-BR" sz="1100" baseline="0">
                <a:solidFill>
                  <a:sysClr val="windowText" lastClr="000000"/>
                </a:solidFill>
              </a:rPr>
              <a:t> 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Seta em curva para a esquerd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1905000" y="4867275"/>
            <a:ext cx="190500" cy="209550"/>
          </a:xfrm>
          <a:prstGeom prst="curved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10</xdr:row>
          <xdr:rowOff>28575</xdr:rowOff>
        </xdr:from>
        <xdr:to>
          <xdr:col>1</xdr:col>
          <xdr:colOff>1152525</xdr:colOff>
          <xdr:row>11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Rodar simulação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9</xdr:row>
          <xdr:rowOff>142875</xdr:rowOff>
        </xdr:from>
        <xdr:to>
          <xdr:col>5</xdr:col>
          <xdr:colOff>1171575</xdr:colOff>
          <xdr:row>11</xdr:row>
          <xdr:rowOff>38100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Rodar simulação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142875</xdr:colOff>
      <xdr:row>10</xdr:row>
      <xdr:rowOff>28575</xdr:rowOff>
    </xdr:from>
    <xdr:to>
      <xdr:col>7</xdr:col>
      <xdr:colOff>1085850</xdr:colOff>
      <xdr:row>11</xdr:row>
      <xdr:rowOff>123825</xdr:rowOff>
    </xdr:to>
    <xdr:grpSp>
      <xdr:nvGrpSpPr>
        <xdr:cNvPr id="4" name="Grup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7524750" y="1933575"/>
          <a:ext cx="942975" cy="266700"/>
          <a:chOff x="1314450" y="4838700"/>
          <a:chExt cx="942975" cy="2667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314450" y="4838700"/>
            <a:ext cx="942975" cy="266700"/>
          </a:xfrm>
          <a:prstGeom prst="rect">
            <a:avLst/>
          </a:prstGeom>
          <a:solidFill>
            <a:schemeClr val="bg2">
              <a:lumMod val="90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Voltar</a:t>
            </a:r>
            <a:r>
              <a:rPr lang="pt-BR" sz="1100" baseline="0">
                <a:solidFill>
                  <a:sysClr val="windowText" lastClr="000000"/>
                </a:solidFill>
              </a:rPr>
              <a:t> 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Seta em curva para a esquerda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1905000" y="4867275"/>
            <a:ext cx="190500" cy="209550"/>
          </a:xfrm>
          <a:prstGeom prst="curved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K36"/>
  <sheetViews>
    <sheetView showGridLines="0" zoomScale="85" zoomScaleNormal="85" workbookViewId="0">
      <selection activeCell="F41" sqref="F41"/>
    </sheetView>
  </sheetViews>
  <sheetFormatPr defaultColWidth="8.85546875" defaultRowHeight="12.75"/>
  <cols>
    <col min="11" max="11" width="15.85546875" customWidth="1"/>
  </cols>
  <sheetData>
    <row r="1" spans="1:11" ht="15.75">
      <c r="A1" s="86" t="s">
        <v>164</v>
      </c>
      <c r="B1" s="87"/>
      <c r="C1" s="87"/>
      <c r="D1" s="87"/>
      <c r="E1" s="87"/>
      <c r="F1" s="87"/>
      <c r="G1" s="87"/>
      <c r="H1" s="87"/>
      <c r="I1" s="87"/>
      <c r="J1" s="87"/>
      <c r="K1" s="88"/>
    </row>
    <row r="2" spans="1:11">
      <c r="A2" s="16"/>
      <c r="B2" s="17"/>
      <c r="C2" s="17"/>
      <c r="D2" s="17"/>
      <c r="E2" s="17"/>
      <c r="F2" s="17"/>
      <c r="G2" s="17"/>
      <c r="H2" s="17"/>
      <c r="I2" s="17"/>
      <c r="J2" s="17"/>
      <c r="K2" s="18"/>
    </row>
    <row r="3" spans="1:11" ht="12.75" customHeight="1">
      <c r="A3" s="83" t="s">
        <v>127</v>
      </c>
      <c r="B3" s="89"/>
      <c r="C3" s="89"/>
      <c r="D3" s="89"/>
      <c r="E3" s="89"/>
      <c r="F3" s="89"/>
      <c r="G3" s="89"/>
      <c r="H3" s="89"/>
      <c r="I3" s="89"/>
      <c r="J3" s="89"/>
      <c r="K3" s="90"/>
    </row>
    <row r="4" spans="1:11" ht="15.75" customHeight="1">
      <c r="A4" s="83" t="s">
        <v>149</v>
      </c>
      <c r="B4" s="89"/>
      <c r="C4" s="89"/>
      <c r="D4" s="89"/>
      <c r="E4" s="89"/>
      <c r="F4" s="89"/>
      <c r="G4" s="89"/>
      <c r="H4" s="89"/>
      <c r="I4" s="89"/>
      <c r="J4" s="89"/>
      <c r="K4" s="90"/>
    </row>
    <row r="5" spans="1:11">
      <c r="A5" s="83" t="s">
        <v>128</v>
      </c>
      <c r="B5" s="84"/>
      <c r="C5" s="84"/>
      <c r="D5" s="84"/>
      <c r="E5" s="84"/>
      <c r="F5" s="84"/>
      <c r="G5" s="84"/>
      <c r="H5" s="84"/>
      <c r="I5" s="84"/>
      <c r="J5" s="84"/>
      <c r="K5" s="85"/>
    </row>
    <row r="6" spans="1:11">
      <c r="A6" s="83" t="s">
        <v>129</v>
      </c>
      <c r="B6" s="84"/>
      <c r="C6" s="84"/>
      <c r="D6" s="84"/>
      <c r="E6" s="84"/>
      <c r="F6" s="84"/>
      <c r="G6" s="84"/>
      <c r="H6" s="84"/>
      <c r="I6" s="84"/>
      <c r="J6" s="84"/>
      <c r="K6" s="85"/>
    </row>
    <row r="7" spans="1:11" ht="12.75" customHeight="1">
      <c r="A7" s="83" t="s">
        <v>130</v>
      </c>
      <c r="B7" s="89"/>
      <c r="C7" s="89"/>
      <c r="D7" s="89"/>
      <c r="E7" s="89"/>
      <c r="F7" s="89"/>
      <c r="G7" s="89"/>
      <c r="H7" s="89"/>
      <c r="I7" s="89"/>
      <c r="J7" s="89"/>
      <c r="K7" s="90"/>
    </row>
    <row r="8" spans="1:11" ht="12.75" customHeight="1">
      <c r="A8" s="83" t="s">
        <v>131</v>
      </c>
      <c r="B8" s="89"/>
      <c r="C8" s="89"/>
      <c r="D8" s="89"/>
      <c r="E8" s="89"/>
      <c r="F8" s="89"/>
      <c r="G8" s="89"/>
      <c r="H8" s="89"/>
      <c r="I8" s="89"/>
      <c r="J8" s="89"/>
      <c r="K8" s="90"/>
    </row>
    <row r="9" spans="1:11">
      <c r="A9" s="83" t="s">
        <v>132</v>
      </c>
      <c r="B9" s="84"/>
      <c r="C9" s="84"/>
      <c r="D9" s="84"/>
      <c r="E9" s="84"/>
      <c r="F9" s="84"/>
      <c r="G9" s="84"/>
      <c r="H9" s="84"/>
      <c r="I9" s="84"/>
      <c r="J9" s="84"/>
      <c r="K9" s="85"/>
    </row>
    <row r="10" spans="1:11">
      <c r="A10" s="83" t="s">
        <v>134</v>
      </c>
      <c r="B10" s="84"/>
      <c r="C10" s="84"/>
      <c r="D10" s="84"/>
      <c r="E10" s="84"/>
      <c r="F10" s="84"/>
      <c r="G10" s="84"/>
      <c r="H10" s="84"/>
      <c r="I10" s="84"/>
      <c r="J10" s="84"/>
      <c r="K10" s="85"/>
    </row>
    <row r="11" spans="1:11">
      <c r="A11" s="83" t="s">
        <v>133</v>
      </c>
      <c r="B11" s="84"/>
      <c r="C11" s="84"/>
      <c r="D11" s="84"/>
      <c r="E11" s="84"/>
      <c r="F11" s="84"/>
      <c r="G11" s="84"/>
      <c r="H11" s="84"/>
      <c r="I11" s="84"/>
      <c r="J11" s="84"/>
      <c r="K11" s="85"/>
    </row>
    <row r="12" spans="1:11">
      <c r="A12" s="83" t="s">
        <v>140</v>
      </c>
      <c r="B12" s="84"/>
      <c r="C12" s="84"/>
      <c r="D12" s="84"/>
      <c r="E12" s="84"/>
      <c r="F12" s="84"/>
      <c r="G12" s="84"/>
      <c r="H12" s="84"/>
      <c r="I12" s="84"/>
      <c r="J12" s="84"/>
      <c r="K12" s="85"/>
    </row>
    <row r="13" spans="1:11">
      <c r="A13" s="83" t="s">
        <v>141</v>
      </c>
      <c r="B13" s="84"/>
      <c r="C13" s="84"/>
      <c r="D13" s="84"/>
      <c r="E13" s="84"/>
      <c r="F13" s="84"/>
      <c r="G13" s="84"/>
      <c r="H13" s="84"/>
      <c r="I13" s="84"/>
      <c r="J13" s="84"/>
      <c r="K13" s="85"/>
    </row>
    <row r="14" spans="1:11">
      <c r="A14" s="83" t="s">
        <v>135</v>
      </c>
      <c r="B14" s="84"/>
      <c r="C14" s="84"/>
      <c r="D14" s="84"/>
      <c r="E14" s="84"/>
      <c r="F14" s="84"/>
      <c r="G14" s="84"/>
      <c r="H14" s="84"/>
      <c r="I14" s="84"/>
      <c r="J14" s="84"/>
      <c r="K14" s="85"/>
    </row>
    <row r="15" spans="1:11">
      <c r="A15" s="83" t="s">
        <v>150</v>
      </c>
      <c r="B15" s="84"/>
      <c r="C15" s="84"/>
      <c r="D15" s="84"/>
      <c r="E15" s="84"/>
      <c r="F15" s="84"/>
      <c r="G15" s="84"/>
      <c r="H15" s="84"/>
      <c r="I15" s="84"/>
      <c r="J15" s="84"/>
      <c r="K15" s="85"/>
    </row>
    <row r="16" spans="1:11">
      <c r="A16" s="83" t="s">
        <v>136</v>
      </c>
      <c r="B16" s="84"/>
      <c r="C16" s="84"/>
      <c r="D16" s="84"/>
      <c r="E16" s="84"/>
      <c r="F16" s="84"/>
      <c r="G16" s="84"/>
      <c r="H16" s="84"/>
      <c r="I16" s="84"/>
      <c r="J16" s="84"/>
      <c r="K16" s="85"/>
    </row>
    <row r="17" spans="1:11">
      <c r="A17" s="83" t="s">
        <v>137</v>
      </c>
      <c r="B17" s="84"/>
      <c r="C17" s="84"/>
      <c r="D17" s="84"/>
      <c r="E17" s="84"/>
      <c r="F17" s="84"/>
      <c r="G17" s="84"/>
      <c r="H17" s="84"/>
      <c r="I17" s="84"/>
      <c r="J17" s="84"/>
      <c r="K17" s="85"/>
    </row>
    <row r="18" spans="1:11">
      <c r="A18" s="83" t="s">
        <v>138</v>
      </c>
      <c r="B18" s="84"/>
      <c r="C18" s="84"/>
      <c r="D18" s="84"/>
      <c r="E18" s="84"/>
      <c r="F18" s="84"/>
      <c r="G18" s="84"/>
      <c r="H18" s="84"/>
      <c r="I18" s="84"/>
      <c r="J18" s="84"/>
      <c r="K18" s="85"/>
    </row>
    <row r="19" spans="1:11">
      <c r="A19" s="83" t="s">
        <v>139</v>
      </c>
      <c r="B19" s="84"/>
      <c r="C19" s="84"/>
      <c r="D19" s="84"/>
      <c r="E19" s="84"/>
      <c r="F19" s="84"/>
      <c r="G19" s="84"/>
      <c r="H19" s="84"/>
      <c r="I19" s="84"/>
      <c r="J19" s="84"/>
      <c r="K19" s="85"/>
    </row>
    <row r="20" spans="1:11">
      <c r="A20" s="16"/>
      <c r="B20" s="17"/>
      <c r="C20" s="17"/>
      <c r="D20" s="17"/>
      <c r="E20" s="17"/>
      <c r="F20" s="17"/>
      <c r="G20" s="17"/>
      <c r="H20" s="17"/>
      <c r="I20" s="17"/>
      <c r="J20" s="17"/>
      <c r="K20" s="18"/>
    </row>
    <row r="21" spans="1:11">
      <c r="A21" s="19" t="s">
        <v>148</v>
      </c>
      <c r="B21" s="17"/>
      <c r="C21" s="17"/>
      <c r="D21" s="17"/>
      <c r="E21" s="17"/>
      <c r="F21" s="17"/>
      <c r="G21" s="17"/>
      <c r="H21" s="17"/>
      <c r="I21" s="17"/>
      <c r="J21" s="17"/>
      <c r="K21" s="18"/>
    </row>
    <row r="22" spans="1:11">
      <c r="A22" s="83" t="s">
        <v>142</v>
      </c>
      <c r="B22" s="84"/>
      <c r="C22" s="84"/>
      <c r="D22" s="84"/>
      <c r="E22" s="84"/>
      <c r="F22" s="84"/>
      <c r="G22" s="84"/>
      <c r="H22" s="84"/>
      <c r="I22" s="84"/>
      <c r="J22" s="84"/>
      <c r="K22" s="85"/>
    </row>
    <row r="23" spans="1:11">
      <c r="A23" s="83" t="s">
        <v>143</v>
      </c>
      <c r="B23" s="84"/>
      <c r="C23" s="84"/>
      <c r="D23" s="84"/>
      <c r="E23" s="84"/>
      <c r="F23" s="84"/>
      <c r="G23" s="84"/>
      <c r="H23" s="84"/>
      <c r="I23" s="84"/>
      <c r="J23" s="84"/>
      <c r="K23" s="85"/>
    </row>
    <row r="24" spans="1:11">
      <c r="A24" s="83" t="s">
        <v>144</v>
      </c>
      <c r="B24" s="84"/>
      <c r="C24" s="84"/>
      <c r="D24" s="84"/>
      <c r="E24" s="84"/>
      <c r="F24" s="84"/>
      <c r="G24" s="84"/>
      <c r="H24" s="84"/>
      <c r="I24" s="84"/>
      <c r="J24" s="84"/>
      <c r="K24" s="85"/>
    </row>
    <row r="25" spans="1:11">
      <c r="A25" s="83" t="s">
        <v>146</v>
      </c>
      <c r="B25" s="84"/>
      <c r="C25" s="84"/>
      <c r="D25" s="84"/>
      <c r="E25" s="84"/>
      <c r="F25" s="84"/>
      <c r="G25" s="84"/>
      <c r="H25" s="84"/>
      <c r="I25" s="84"/>
      <c r="J25" s="84"/>
      <c r="K25" s="85"/>
    </row>
    <row r="26" spans="1:11">
      <c r="A26" s="83" t="s">
        <v>145</v>
      </c>
      <c r="B26" s="84"/>
      <c r="C26" s="84"/>
      <c r="D26" s="84"/>
      <c r="E26" s="84"/>
      <c r="F26" s="84"/>
      <c r="G26" s="84"/>
      <c r="H26" s="84"/>
      <c r="I26" s="84"/>
      <c r="J26" s="84"/>
      <c r="K26" s="85"/>
    </row>
    <row r="27" spans="1:11">
      <c r="A27" s="83" t="s">
        <v>160</v>
      </c>
      <c r="B27" s="84"/>
      <c r="C27" s="84"/>
      <c r="D27" s="84"/>
      <c r="E27" s="84"/>
      <c r="F27" s="84"/>
      <c r="G27" s="84"/>
      <c r="H27" s="84"/>
      <c r="I27" s="84"/>
      <c r="J27" s="84"/>
      <c r="K27" s="85"/>
    </row>
    <row r="28" spans="1:11">
      <c r="A28" s="77" t="s">
        <v>163</v>
      </c>
      <c r="B28" s="25"/>
      <c r="C28" s="25"/>
      <c r="D28" s="25"/>
      <c r="E28" s="25"/>
      <c r="F28" s="25"/>
      <c r="G28" s="25"/>
      <c r="H28" s="25"/>
      <c r="I28" s="25"/>
      <c r="J28" s="25"/>
      <c r="K28" s="78"/>
    </row>
    <row r="29" spans="1:11">
      <c r="A29" s="83" t="s">
        <v>147</v>
      </c>
      <c r="B29" s="84"/>
      <c r="C29" s="84"/>
      <c r="D29" s="84"/>
      <c r="E29" s="84"/>
      <c r="F29" s="84"/>
      <c r="G29" s="84"/>
      <c r="H29" s="84"/>
      <c r="I29" s="84"/>
      <c r="J29" s="84"/>
      <c r="K29" s="85"/>
    </row>
    <row r="30" spans="1:11">
      <c r="A30" s="16"/>
      <c r="B30" s="17"/>
      <c r="C30" s="17"/>
      <c r="D30" s="17"/>
      <c r="E30" s="17"/>
      <c r="F30" s="17"/>
      <c r="G30" s="17"/>
      <c r="H30" s="17"/>
      <c r="I30" s="17"/>
      <c r="J30" s="17"/>
      <c r="K30" s="18"/>
    </row>
    <row r="31" spans="1:11">
      <c r="A31" s="16"/>
      <c r="B31" s="17"/>
      <c r="C31" s="17"/>
      <c r="D31" s="17"/>
      <c r="E31" s="17"/>
      <c r="F31" s="17"/>
      <c r="G31" s="17"/>
      <c r="H31" s="17"/>
      <c r="I31" s="17"/>
      <c r="J31" s="17"/>
      <c r="K31" s="18"/>
    </row>
    <row r="32" spans="1:11">
      <c r="A32" s="16"/>
      <c r="B32" s="17"/>
      <c r="C32" s="17"/>
      <c r="D32" s="17"/>
      <c r="E32" s="17"/>
      <c r="F32" s="17"/>
      <c r="G32" s="17"/>
      <c r="H32" s="17"/>
      <c r="I32" s="17"/>
      <c r="J32" s="17"/>
      <c r="K32" s="18"/>
    </row>
    <row r="33" spans="1:11">
      <c r="A33" s="16"/>
      <c r="B33" s="17"/>
      <c r="C33" s="17"/>
      <c r="D33" s="17"/>
      <c r="E33" s="17"/>
      <c r="F33" s="17"/>
      <c r="G33" s="17"/>
      <c r="H33" s="17"/>
      <c r="I33" s="17"/>
      <c r="J33" s="17"/>
      <c r="K33" s="18"/>
    </row>
    <row r="34" spans="1:11">
      <c r="A34" s="16"/>
      <c r="B34" s="17"/>
      <c r="C34" s="17"/>
      <c r="D34" s="17"/>
      <c r="E34" s="17"/>
      <c r="F34" s="17"/>
      <c r="G34" s="17"/>
      <c r="H34" s="17"/>
      <c r="I34" s="17"/>
      <c r="J34" s="17"/>
      <c r="K34" s="18"/>
    </row>
    <row r="35" spans="1:11">
      <c r="A35" s="16"/>
      <c r="B35" s="17"/>
      <c r="C35" s="17"/>
      <c r="D35" s="17"/>
      <c r="E35" s="17"/>
      <c r="F35" s="17"/>
      <c r="G35" s="17"/>
      <c r="H35" s="17"/>
      <c r="I35" s="17"/>
      <c r="J35" s="17"/>
      <c r="K35" s="18"/>
    </row>
    <row r="36" spans="1:11" ht="13.5" thickBo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9"/>
    </row>
  </sheetData>
  <customSheetViews>
    <customSheetView guid="{ED5E4BD8-70AD-414F-AD0F-BD75B337D161}" showGridLines="0">
      <selection activeCell="A25" sqref="A25:K26"/>
      <pageMargins left="0.511811024" right="0.511811024" top="0.78740157499999996" bottom="0.78740157499999996" header="0.31496062000000002" footer="0.31496062000000002"/>
      <pageSetup paperSize="9" orientation="portrait" horizontalDpi="90" verticalDpi="90" r:id="rId1"/>
    </customSheetView>
  </customSheetViews>
  <mergeCells count="25">
    <mergeCell ref="A1:K1"/>
    <mergeCell ref="A4:K4"/>
    <mergeCell ref="A6:K6"/>
    <mergeCell ref="A8:K8"/>
    <mergeCell ref="A11:K11"/>
    <mergeCell ref="A3:K3"/>
    <mergeCell ref="A5:K5"/>
    <mergeCell ref="A7:K7"/>
    <mergeCell ref="A9:K9"/>
    <mergeCell ref="A10:K10"/>
    <mergeCell ref="A23:K23"/>
    <mergeCell ref="A12:K12"/>
    <mergeCell ref="A14:K14"/>
    <mergeCell ref="A17:K17"/>
    <mergeCell ref="A18:K18"/>
    <mergeCell ref="A15:K15"/>
    <mergeCell ref="A16:K16"/>
    <mergeCell ref="A19:K19"/>
    <mergeCell ref="A13:K13"/>
    <mergeCell ref="A22:K22"/>
    <mergeCell ref="A24:K24"/>
    <mergeCell ref="A25:K25"/>
    <mergeCell ref="A26:K26"/>
    <mergeCell ref="A27:K27"/>
    <mergeCell ref="A29:K29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0"/>
  <dimension ref="A1:H40"/>
  <sheetViews>
    <sheetView workbookViewId="0">
      <selection activeCell="B15" sqref="B15"/>
    </sheetView>
  </sheetViews>
  <sheetFormatPr defaultColWidth="9.140625" defaultRowHeight="12.75"/>
  <cols>
    <col min="1" max="1" width="41.28515625" customWidth="1"/>
    <col min="2" max="2" width="21.42578125" customWidth="1"/>
    <col min="3" max="3" width="17" customWidth="1"/>
    <col min="8" max="8" width="2.28515625" customWidth="1"/>
  </cols>
  <sheetData>
    <row r="1" spans="1:8" ht="15.75">
      <c r="A1" s="86" t="s">
        <v>68</v>
      </c>
      <c r="B1" s="87"/>
      <c r="C1" s="87"/>
      <c r="D1" s="87"/>
      <c r="E1" s="87"/>
      <c r="F1" s="87"/>
      <c r="G1" s="87"/>
      <c r="H1" s="88"/>
    </row>
    <row r="2" spans="1:8" ht="13.5" thickBot="1">
      <c r="A2" s="16"/>
      <c r="B2" s="17"/>
      <c r="C2" s="17"/>
      <c r="D2" s="17"/>
      <c r="E2" s="17"/>
      <c r="F2" s="17"/>
      <c r="G2" s="17"/>
      <c r="H2" s="18"/>
    </row>
    <row r="3" spans="1:8" ht="13.5" thickBot="1">
      <c r="A3" s="19" t="s">
        <v>73</v>
      </c>
      <c r="B3" s="7">
        <f>Software!F23</f>
        <v>25600</v>
      </c>
      <c r="C3" s="17"/>
      <c r="D3" s="17"/>
      <c r="E3" s="17"/>
      <c r="F3" s="17"/>
      <c r="G3" s="17"/>
      <c r="H3" s="18"/>
    </row>
    <row r="4" spans="1:8" ht="13.5" thickBot="1">
      <c r="A4" s="16"/>
      <c r="B4" s="17"/>
      <c r="C4" s="17"/>
      <c r="D4" s="17"/>
      <c r="E4" s="17"/>
      <c r="F4" s="17"/>
      <c r="G4" s="17"/>
      <c r="H4" s="18"/>
    </row>
    <row r="5" spans="1:8" ht="13.5" thickBot="1">
      <c r="A5" s="19" t="s">
        <v>74</v>
      </c>
      <c r="B5" s="7">
        <f>Hardware!B35</f>
        <v>97540</v>
      </c>
      <c r="C5" s="17"/>
      <c r="D5" s="17"/>
      <c r="E5" s="17"/>
      <c r="F5" s="17"/>
      <c r="G5" s="17"/>
      <c r="H5" s="18"/>
    </row>
    <row r="6" spans="1:8" ht="13.5" thickBot="1">
      <c r="A6" s="16"/>
      <c r="B6" s="17"/>
      <c r="C6" s="17"/>
      <c r="D6" s="17"/>
      <c r="E6" s="17"/>
      <c r="F6" s="17"/>
      <c r="G6" s="17"/>
      <c r="H6" s="18"/>
    </row>
    <row r="7" spans="1:8" ht="13.5" thickBot="1">
      <c r="A7" s="19" t="s">
        <v>77</v>
      </c>
      <c r="B7" s="7">
        <f>'Custo Total'!B15</f>
        <v>123140</v>
      </c>
      <c r="C7" s="17"/>
      <c r="D7" s="17"/>
      <c r="E7" s="17"/>
      <c r="F7" s="17"/>
      <c r="G7" s="17"/>
      <c r="H7" s="18"/>
    </row>
    <row r="8" spans="1:8" ht="13.5" thickBot="1">
      <c r="A8" s="16"/>
      <c r="B8" s="17"/>
      <c r="C8" s="17"/>
      <c r="D8" s="17"/>
      <c r="E8" s="17"/>
      <c r="F8" s="17"/>
      <c r="G8" s="17"/>
      <c r="H8" s="18"/>
    </row>
    <row r="9" spans="1:8" ht="13.5" thickBot="1">
      <c r="A9" s="19" t="s">
        <v>151</v>
      </c>
      <c r="B9" s="7">
        <f>Componentes!B39</f>
        <v>344.13</v>
      </c>
      <c r="C9" s="17"/>
      <c r="D9" s="17"/>
      <c r="E9" s="17"/>
      <c r="F9" s="17"/>
      <c r="G9" s="17"/>
      <c r="H9" s="18"/>
    </row>
    <row r="10" spans="1:8" ht="13.5" thickBot="1">
      <c r="A10" s="16"/>
      <c r="B10" s="17"/>
      <c r="C10" s="17"/>
      <c r="D10" s="17"/>
      <c r="E10" s="17"/>
      <c r="F10" s="17"/>
      <c r="G10" s="17"/>
      <c r="H10" s="18"/>
    </row>
    <row r="11" spans="1:8" ht="13.5" thickBot="1">
      <c r="A11" s="19" t="s">
        <v>72</v>
      </c>
      <c r="B11" s="7">
        <f>'Custo Total'!C19</f>
        <v>344.13</v>
      </c>
      <c r="C11" s="17"/>
      <c r="D11" s="17"/>
      <c r="E11" s="17"/>
      <c r="F11" s="17"/>
      <c r="G11" s="17"/>
      <c r="H11" s="18"/>
    </row>
    <row r="12" spans="1:8">
      <c r="A12" s="16"/>
      <c r="B12" s="17"/>
      <c r="C12" s="17"/>
      <c r="D12" s="17"/>
      <c r="E12" s="17"/>
      <c r="F12" s="17"/>
      <c r="G12" s="17"/>
      <c r="H12" s="18"/>
    </row>
    <row r="13" spans="1:8" ht="15.75">
      <c r="A13" s="91" t="s">
        <v>109</v>
      </c>
      <c r="B13" s="92"/>
      <c r="C13" s="92"/>
      <c r="D13" s="92"/>
      <c r="E13" s="92"/>
      <c r="F13" s="92"/>
      <c r="G13" s="92"/>
      <c r="H13" s="93"/>
    </row>
    <row r="14" spans="1:8" ht="13.5" thickBot="1">
      <c r="A14" s="16"/>
      <c r="B14" s="17"/>
      <c r="C14" s="17"/>
      <c r="D14" s="17"/>
      <c r="E14" s="17"/>
      <c r="F14" s="17"/>
      <c r="G14" s="17"/>
      <c r="H14" s="18"/>
    </row>
    <row r="15" spans="1:8" ht="13.5" thickBot="1">
      <c r="A15" s="19" t="s">
        <v>110</v>
      </c>
      <c r="B15" s="7">
        <f>Precificação!B5</f>
        <v>705.46649999999988</v>
      </c>
      <c r="C15" s="17"/>
      <c r="D15" s="17"/>
      <c r="E15" s="17"/>
      <c r="F15" s="17"/>
      <c r="G15" s="17"/>
      <c r="H15" s="18"/>
    </row>
    <row r="16" spans="1:8" ht="13.5" thickBot="1">
      <c r="A16" s="19"/>
      <c r="B16" s="17"/>
      <c r="C16" s="17"/>
      <c r="D16" s="17"/>
      <c r="E16" s="17"/>
      <c r="F16" s="17"/>
      <c r="G16" s="17"/>
      <c r="H16" s="18"/>
    </row>
    <row r="17" spans="1:8" ht="13.5" thickBot="1">
      <c r="A17" s="19" t="s">
        <v>111</v>
      </c>
      <c r="B17" s="7">
        <f>Precificação!B57</f>
        <v>705.46649999999988</v>
      </c>
      <c r="C17" s="17"/>
      <c r="D17" s="17"/>
      <c r="E17" s="17"/>
      <c r="F17" s="17"/>
      <c r="G17" s="17"/>
      <c r="H17" s="18"/>
    </row>
    <row r="18" spans="1:8">
      <c r="A18" s="16"/>
      <c r="B18" s="17"/>
      <c r="C18" s="17"/>
      <c r="D18" s="17"/>
      <c r="E18" s="17"/>
      <c r="F18" s="17"/>
      <c r="G18" s="17"/>
      <c r="H18" s="18"/>
    </row>
    <row r="19" spans="1:8" ht="15.75">
      <c r="A19" s="91" t="s">
        <v>79</v>
      </c>
      <c r="B19" s="92"/>
      <c r="C19" s="92"/>
      <c r="D19" s="92"/>
      <c r="E19" s="92"/>
      <c r="F19" s="92"/>
      <c r="G19" s="92"/>
      <c r="H19" s="93"/>
    </row>
    <row r="20" spans="1:8" ht="13.5" thickBot="1">
      <c r="A20" s="16"/>
      <c r="B20" s="17"/>
      <c r="C20" s="17"/>
      <c r="D20" s="17"/>
      <c r="E20" s="17"/>
      <c r="F20" s="17"/>
      <c r="G20" s="17"/>
      <c r="H20" s="18"/>
    </row>
    <row r="21" spans="1:8" ht="13.5" thickBot="1">
      <c r="A21" s="19" t="s">
        <v>80</v>
      </c>
      <c r="B21" s="6">
        <f>'Análise econômica'!B3</f>
        <v>-102793.53089162684</v>
      </c>
      <c r="C21" s="17"/>
      <c r="D21" s="17"/>
      <c r="E21" s="17"/>
      <c r="F21" s="17"/>
      <c r="G21" s="17"/>
      <c r="H21" s="18"/>
    </row>
    <row r="22" spans="1:8" ht="13.5" thickBot="1">
      <c r="A22" s="19"/>
      <c r="B22" s="17"/>
      <c r="C22" s="17"/>
      <c r="D22" s="17"/>
      <c r="E22" s="17"/>
      <c r="F22" s="17"/>
      <c r="G22" s="17"/>
      <c r="H22" s="18"/>
    </row>
    <row r="23" spans="1:8" ht="13.5" thickBot="1">
      <c r="A23" s="19" t="s">
        <v>88</v>
      </c>
      <c r="B23" s="94" t="str">
        <f>'Análise econômica'!B5</f>
        <v>Sem payback</v>
      </c>
      <c r="C23" s="95"/>
      <c r="D23" s="95"/>
      <c r="E23" s="95"/>
      <c r="F23" s="95"/>
      <c r="G23" s="96"/>
      <c r="H23" s="18"/>
    </row>
    <row r="24" spans="1:8" ht="13.5" thickBot="1">
      <c r="A24" s="19"/>
      <c r="B24" s="17"/>
      <c r="C24" s="17"/>
      <c r="D24" s="17"/>
      <c r="E24" s="17"/>
      <c r="F24" s="17"/>
      <c r="G24" s="17"/>
      <c r="H24" s="18"/>
    </row>
    <row r="25" spans="1:8" ht="13.5" thickBot="1">
      <c r="A25" s="19" t="s">
        <v>89</v>
      </c>
      <c r="B25" s="94" t="str">
        <f>'Análise econômica'!B7</f>
        <v>Sem payback</v>
      </c>
      <c r="C25" s="95"/>
      <c r="D25" s="95"/>
      <c r="E25" s="95"/>
      <c r="F25" s="95"/>
      <c r="G25" s="96"/>
      <c r="H25" s="18"/>
    </row>
    <row r="26" spans="1:8" ht="13.5" thickBot="1">
      <c r="A26" s="19"/>
      <c r="B26" s="17"/>
      <c r="C26" s="17"/>
      <c r="D26" s="17"/>
      <c r="E26" s="17"/>
      <c r="F26" s="17"/>
      <c r="G26" s="17"/>
      <c r="H26" s="18"/>
    </row>
    <row r="27" spans="1:8" ht="13.5" thickBot="1">
      <c r="A27" s="19" t="s">
        <v>90</v>
      </c>
      <c r="B27" s="51">
        <f>'Análise econômica'!B9</f>
        <v>-0.51121469858131108</v>
      </c>
      <c r="C27" s="17"/>
      <c r="D27" s="17"/>
      <c r="E27" s="17"/>
      <c r="F27" s="17"/>
      <c r="G27" s="17"/>
      <c r="H27" s="18"/>
    </row>
    <row r="28" spans="1:8">
      <c r="A28" s="16"/>
      <c r="B28" s="17"/>
      <c r="C28" s="17"/>
      <c r="D28" s="17"/>
      <c r="E28" s="17"/>
      <c r="F28" s="17"/>
      <c r="G28" s="17"/>
      <c r="H28" s="18"/>
    </row>
    <row r="29" spans="1:8">
      <c r="A29" s="19" t="s">
        <v>107</v>
      </c>
      <c r="B29" s="17"/>
      <c r="C29" s="17"/>
      <c r="D29" s="17"/>
      <c r="E29" s="17"/>
      <c r="F29" s="17"/>
      <c r="G29" s="17"/>
      <c r="H29" s="18"/>
    </row>
    <row r="30" spans="1:8" ht="13.5" thickBot="1">
      <c r="A30" s="16"/>
      <c r="B30" s="17"/>
      <c r="C30" s="17"/>
      <c r="D30" s="17"/>
      <c r="E30" s="17"/>
      <c r="F30" s="17"/>
      <c r="G30" s="17"/>
      <c r="H30" s="18"/>
    </row>
    <row r="31" spans="1:8" ht="13.5" thickBot="1">
      <c r="A31" s="1" t="str">
        <f>'Análise econômica'!A13</f>
        <v>VPL &lt; 0 - Rejeita o projeto</v>
      </c>
      <c r="B31" s="17"/>
      <c r="C31" s="17"/>
      <c r="D31" s="17"/>
      <c r="E31" s="17"/>
      <c r="F31" s="17"/>
      <c r="G31" s="17"/>
      <c r="H31" s="18"/>
    </row>
    <row r="32" spans="1:8" ht="13.5" thickBot="1">
      <c r="A32" s="16"/>
      <c r="B32" s="17"/>
      <c r="C32" s="17"/>
      <c r="D32" s="17"/>
      <c r="E32" s="17"/>
      <c r="F32" s="17"/>
      <c r="G32" s="17"/>
      <c r="H32" s="18"/>
    </row>
    <row r="33" spans="1:8" ht="13.5" thickBot="1">
      <c r="A33" s="1" t="str">
        <f>'Análise econômica'!A15</f>
        <v>TIR &lt; TMA - Rejeita o projeto</v>
      </c>
      <c r="B33" s="17"/>
      <c r="C33" s="17"/>
      <c r="D33" s="17"/>
      <c r="E33" s="17"/>
      <c r="F33" s="17"/>
      <c r="G33" s="17"/>
      <c r="H33" s="18"/>
    </row>
    <row r="34" spans="1:8">
      <c r="A34" s="16"/>
      <c r="B34" s="17"/>
      <c r="C34" s="17"/>
      <c r="D34" s="17"/>
      <c r="E34" s="17"/>
      <c r="F34" s="17"/>
      <c r="G34" s="17"/>
      <c r="H34" s="18"/>
    </row>
    <row r="35" spans="1:8" ht="15.75">
      <c r="A35" s="91" t="s">
        <v>94</v>
      </c>
      <c r="B35" s="92"/>
      <c r="C35" s="92"/>
      <c r="D35" s="92"/>
      <c r="E35" s="92"/>
      <c r="F35" s="92"/>
      <c r="G35" s="92"/>
      <c r="H35" s="93"/>
    </row>
    <row r="36" spans="1:8" ht="13.5" thickBot="1">
      <c r="A36" s="16"/>
      <c r="B36" s="17"/>
      <c r="C36" s="17"/>
      <c r="D36" s="17"/>
      <c r="E36" s="17"/>
      <c r="F36" s="17"/>
      <c r="G36" s="17"/>
      <c r="H36" s="18"/>
    </row>
    <row r="37" spans="1:8" ht="13.5" thickBot="1">
      <c r="A37" s="19" t="s">
        <v>80</v>
      </c>
      <c r="B37" s="6">
        <f>Simulação!C11</f>
        <v>0</v>
      </c>
      <c r="C37" s="17"/>
      <c r="D37" s="17"/>
      <c r="E37" s="17"/>
      <c r="F37" s="17"/>
      <c r="G37" s="17"/>
      <c r="H37" s="18"/>
    </row>
    <row r="38" spans="1:8" ht="13.5" thickBot="1">
      <c r="A38" s="16"/>
      <c r="B38" s="17"/>
      <c r="C38" s="17"/>
      <c r="D38" s="17"/>
      <c r="E38" s="17"/>
      <c r="F38" s="17"/>
      <c r="G38" s="17"/>
      <c r="H38" s="18"/>
    </row>
    <row r="39" spans="1:8" ht="13.5" thickBot="1">
      <c r="A39" s="19" t="s">
        <v>103</v>
      </c>
      <c r="B39" s="10">
        <f>Simulação!G11</f>
        <v>0</v>
      </c>
      <c r="C39" s="17"/>
      <c r="D39" s="17"/>
      <c r="E39" s="17"/>
      <c r="F39" s="17"/>
      <c r="G39" s="17"/>
      <c r="H39" s="18"/>
    </row>
    <row r="40" spans="1:8" ht="13.5" thickBot="1">
      <c r="A40" s="27"/>
      <c r="B40" s="28"/>
      <c r="C40" s="28"/>
      <c r="D40" s="28"/>
      <c r="E40" s="28"/>
      <c r="F40" s="28"/>
      <c r="G40" s="28"/>
      <c r="H40" s="29"/>
    </row>
  </sheetData>
  <customSheetViews>
    <customSheetView guid="{ED5E4BD8-70AD-414F-AD0F-BD75B337D161}">
      <selection activeCell="M38" sqref="M38"/>
      <pageMargins left="0.511811024" right="0.511811024" top="0.78740157499999996" bottom="0.78740157499999996" header="0.31496062000000002" footer="0.31496062000000002"/>
    </customSheetView>
  </customSheetViews>
  <mergeCells count="6">
    <mergeCell ref="A35:H35"/>
    <mergeCell ref="A1:H1"/>
    <mergeCell ref="A13:H13"/>
    <mergeCell ref="A19:H19"/>
    <mergeCell ref="B23:G23"/>
    <mergeCell ref="B25:G25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M37"/>
  <sheetViews>
    <sheetView showGridLines="0" zoomScaleNormal="100" workbookViewId="0">
      <selection activeCell="B10" sqref="B10"/>
    </sheetView>
  </sheetViews>
  <sheetFormatPr defaultColWidth="8.85546875" defaultRowHeight="12.75"/>
  <cols>
    <col min="2" max="2" width="10.42578125" customWidth="1"/>
    <col min="3" max="3" width="12" bestFit="1" customWidth="1"/>
    <col min="4" max="4" width="10.7109375" customWidth="1"/>
    <col min="5" max="5" width="5.28515625" customWidth="1"/>
    <col min="6" max="6" width="12.42578125" customWidth="1"/>
    <col min="8" max="8" width="23" customWidth="1"/>
    <col min="13" max="13" width="2.85546875" customWidth="1"/>
  </cols>
  <sheetData>
    <row r="1" spans="1:13" ht="15.75">
      <c r="A1" s="86" t="s">
        <v>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8"/>
    </row>
    <row r="2" spans="1:13" ht="13.5" thickBot="1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8"/>
    </row>
    <row r="3" spans="1:13">
      <c r="A3" s="19" t="s">
        <v>10</v>
      </c>
      <c r="B3" s="17"/>
      <c r="C3" s="17"/>
      <c r="D3" s="17"/>
      <c r="E3" s="17"/>
      <c r="F3" s="17"/>
      <c r="G3" s="17"/>
      <c r="H3" s="31" t="s">
        <v>1</v>
      </c>
      <c r="I3" s="22"/>
      <c r="J3" s="22"/>
      <c r="K3" s="22"/>
      <c r="L3" s="23"/>
      <c r="M3" s="18"/>
    </row>
    <row r="4" spans="1:13" ht="13.5" thickBot="1">
      <c r="A4" s="30" t="s">
        <v>55</v>
      </c>
      <c r="B4" s="17"/>
      <c r="C4" s="17"/>
      <c r="D4" s="17"/>
      <c r="E4" s="17"/>
      <c r="F4" s="17"/>
      <c r="G4" s="17"/>
      <c r="H4" s="16"/>
      <c r="I4" s="17"/>
      <c r="J4" s="17"/>
      <c r="K4" s="17"/>
      <c r="L4" s="18"/>
      <c r="M4" s="18"/>
    </row>
    <row r="5" spans="1:13" ht="13.5" thickBot="1">
      <c r="A5" s="19" t="s">
        <v>12</v>
      </c>
      <c r="B5" s="17"/>
      <c r="C5" s="17"/>
      <c r="D5" s="3" t="s">
        <v>185</v>
      </c>
      <c r="E5" s="17"/>
      <c r="F5" s="17"/>
      <c r="G5" s="17"/>
      <c r="H5" s="19" t="s">
        <v>9</v>
      </c>
      <c r="I5" s="17"/>
      <c r="J5" s="17"/>
      <c r="K5" s="17"/>
      <c r="L5" s="18"/>
      <c r="M5" s="18"/>
    </row>
    <row r="6" spans="1:13">
      <c r="A6" s="30" t="s">
        <v>17</v>
      </c>
      <c r="B6" s="17"/>
      <c r="C6" s="17"/>
      <c r="D6" s="17"/>
      <c r="E6" s="17"/>
      <c r="F6" s="17"/>
      <c r="G6" s="17"/>
      <c r="H6" s="16"/>
      <c r="I6" s="17"/>
      <c r="J6" s="17"/>
      <c r="K6" s="17"/>
      <c r="L6" s="18"/>
      <c r="M6" s="18"/>
    </row>
    <row r="7" spans="1:13" ht="16.5" thickBot="1">
      <c r="A7" s="30"/>
      <c r="B7" s="17"/>
      <c r="C7" s="17"/>
      <c r="D7" s="17"/>
      <c r="E7" s="17"/>
      <c r="F7" s="17"/>
      <c r="G7" s="17"/>
      <c r="H7" s="32" t="s">
        <v>2</v>
      </c>
      <c r="I7" s="17"/>
      <c r="J7" s="17"/>
      <c r="K7" s="17"/>
      <c r="L7" s="18"/>
      <c r="M7" s="18"/>
    </row>
    <row r="8" spans="1:13" ht="16.5" thickBot="1">
      <c r="A8" s="19" t="s">
        <v>71</v>
      </c>
      <c r="B8" s="17"/>
      <c r="C8" s="5">
        <v>2300</v>
      </c>
      <c r="D8" s="17"/>
      <c r="E8" s="17"/>
      <c r="F8" s="17"/>
      <c r="G8" s="17"/>
      <c r="H8" s="32"/>
      <c r="I8" s="17"/>
      <c r="J8" s="17"/>
      <c r="K8" s="17"/>
      <c r="L8" s="18"/>
      <c r="M8" s="18"/>
    </row>
    <row r="9" spans="1:13" ht="16.5" thickBot="1">
      <c r="A9" s="30"/>
      <c r="B9" s="17"/>
      <c r="C9" s="17"/>
      <c r="D9" s="17"/>
      <c r="E9" s="17"/>
      <c r="F9" s="17"/>
      <c r="G9" s="17"/>
      <c r="H9" s="32"/>
      <c r="I9" s="17"/>
      <c r="J9" s="17"/>
      <c r="K9" s="17"/>
      <c r="L9" s="18"/>
      <c r="M9" s="18"/>
    </row>
    <row r="10" spans="1:13" ht="13.5" thickBot="1">
      <c r="A10" s="19" t="s">
        <v>11</v>
      </c>
      <c r="B10" s="3">
        <v>1</v>
      </c>
      <c r="C10" s="17"/>
      <c r="D10" s="17"/>
      <c r="E10" s="17"/>
      <c r="F10" s="17"/>
      <c r="G10" s="17"/>
      <c r="H10" s="16"/>
      <c r="I10" s="17"/>
      <c r="J10" s="17"/>
      <c r="K10" s="17"/>
      <c r="L10" s="18"/>
      <c r="M10" s="18"/>
    </row>
    <row r="11" spans="1:13">
      <c r="A11" s="16"/>
      <c r="B11" s="17"/>
      <c r="C11" s="17"/>
      <c r="D11" s="17"/>
      <c r="E11" s="17"/>
      <c r="F11" s="17"/>
      <c r="G11" s="17"/>
      <c r="H11" s="16"/>
      <c r="I11" s="17"/>
      <c r="J11" s="17"/>
      <c r="K11" s="17"/>
      <c r="L11" s="18"/>
      <c r="M11" s="18"/>
    </row>
    <row r="12" spans="1:13">
      <c r="A12" s="19" t="s">
        <v>13</v>
      </c>
      <c r="B12" s="17"/>
      <c r="C12" s="17"/>
      <c r="D12" s="17"/>
      <c r="E12" s="17"/>
      <c r="F12" s="17"/>
      <c r="G12" s="17"/>
      <c r="H12" s="16"/>
      <c r="I12" s="17"/>
      <c r="J12" s="17"/>
      <c r="K12" s="17"/>
      <c r="L12" s="18"/>
      <c r="M12" s="18"/>
    </row>
    <row r="13" spans="1:13">
      <c r="A13" s="16"/>
      <c r="B13" s="17"/>
      <c r="C13" s="17"/>
      <c r="D13" s="17"/>
      <c r="E13" s="17"/>
      <c r="F13" s="17"/>
      <c r="G13" s="17"/>
      <c r="H13" s="16" t="s">
        <v>3</v>
      </c>
      <c r="I13" s="17"/>
      <c r="J13" s="17"/>
      <c r="K13" s="17"/>
      <c r="L13" s="18"/>
      <c r="M13" s="18"/>
    </row>
    <row r="14" spans="1:13">
      <c r="A14" s="19" t="s">
        <v>25</v>
      </c>
      <c r="B14" s="17"/>
      <c r="C14" s="17"/>
      <c r="D14" s="17"/>
      <c r="E14" s="17"/>
      <c r="F14" s="17"/>
      <c r="G14" s="17"/>
      <c r="H14" s="16"/>
      <c r="I14" s="17"/>
      <c r="J14" s="17"/>
      <c r="K14" s="17"/>
      <c r="L14" s="18"/>
      <c r="M14" s="18"/>
    </row>
    <row r="15" spans="1:13" ht="13.5" thickBot="1">
      <c r="A15" s="16"/>
      <c r="B15" s="17"/>
      <c r="C15" s="17"/>
      <c r="D15" s="17"/>
      <c r="E15" s="17"/>
      <c r="F15" s="17"/>
      <c r="G15" s="17"/>
      <c r="H15" s="19" t="s">
        <v>4</v>
      </c>
      <c r="I15" s="17"/>
      <c r="J15" s="17"/>
      <c r="K15" s="17"/>
      <c r="L15" s="18"/>
      <c r="M15" s="18"/>
    </row>
    <row r="16" spans="1:13" ht="13.5" thickBot="1">
      <c r="A16" s="19" t="s">
        <v>14</v>
      </c>
      <c r="B16" s="79">
        <v>3</v>
      </c>
      <c r="C16" s="17" t="s">
        <v>26</v>
      </c>
      <c r="D16" s="17"/>
      <c r="E16" s="17"/>
      <c r="F16" s="17"/>
      <c r="G16" s="17"/>
      <c r="H16" s="16"/>
      <c r="I16" s="17"/>
      <c r="J16" s="17"/>
      <c r="K16" s="17"/>
      <c r="L16" s="18"/>
      <c r="M16" s="18"/>
    </row>
    <row r="17" spans="1:13" ht="13.5" thickBot="1">
      <c r="A17" s="16"/>
      <c r="B17" s="33"/>
      <c r="C17" s="17"/>
      <c r="D17" s="17"/>
      <c r="E17" s="17"/>
      <c r="F17" s="17"/>
      <c r="G17" s="17"/>
      <c r="H17" s="34" t="s">
        <v>5</v>
      </c>
      <c r="I17" s="35"/>
      <c r="J17" s="35"/>
      <c r="K17" s="35"/>
      <c r="L17" s="36"/>
      <c r="M17" s="18"/>
    </row>
    <row r="18" spans="1:13" ht="13.5" thickBot="1">
      <c r="A18" s="19" t="s">
        <v>15</v>
      </c>
      <c r="B18" s="79">
        <v>3.6722517615001844</v>
      </c>
      <c r="C18" s="17" t="s">
        <v>27</v>
      </c>
      <c r="D18" s="17"/>
      <c r="E18" s="17"/>
      <c r="F18" s="17"/>
      <c r="G18" s="17"/>
      <c r="H18" s="41" t="s">
        <v>6</v>
      </c>
      <c r="I18" s="42">
        <v>2.4</v>
      </c>
      <c r="J18" s="42">
        <v>1.05</v>
      </c>
      <c r="K18" s="42">
        <v>2.5</v>
      </c>
      <c r="L18" s="43">
        <v>0.38</v>
      </c>
      <c r="M18" s="18"/>
    </row>
    <row r="19" spans="1:13" ht="13.5" thickBot="1">
      <c r="A19" s="16"/>
      <c r="B19" s="33"/>
      <c r="C19" s="17"/>
      <c r="D19" s="17"/>
      <c r="E19" s="17"/>
      <c r="F19" s="17"/>
      <c r="G19" s="17"/>
      <c r="H19" s="37" t="s">
        <v>7</v>
      </c>
      <c r="I19" s="38">
        <v>3</v>
      </c>
      <c r="J19" s="38">
        <v>1.1200000000000001</v>
      </c>
      <c r="K19" s="38">
        <v>2.5</v>
      </c>
      <c r="L19" s="39">
        <v>0.35</v>
      </c>
      <c r="M19" s="18"/>
    </row>
    <row r="20" spans="1:13" ht="13.5" thickBot="1">
      <c r="A20" s="19" t="s">
        <v>16</v>
      </c>
      <c r="B20" s="79">
        <v>0.81693745277814045</v>
      </c>
      <c r="C20" s="17"/>
      <c r="D20" s="17"/>
      <c r="E20" s="17"/>
      <c r="F20" s="17"/>
      <c r="G20" s="17"/>
      <c r="H20" s="41" t="s">
        <v>8</v>
      </c>
      <c r="I20" s="42">
        <v>3.6</v>
      </c>
      <c r="J20" s="42">
        <v>1.2</v>
      </c>
      <c r="K20" s="42">
        <v>2.5</v>
      </c>
      <c r="L20" s="43">
        <v>0.32</v>
      </c>
      <c r="M20" s="18"/>
    </row>
    <row r="21" spans="1:13">
      <c r="A21" s="16"/>
      <c r="B21" s="17"/>
      <c r="C21" s="17"/>
      <c r="D21" s="17"/>
      <c r="E21" s="17"/>
      <c r="F21" s="17"/>
      <c r="G21" s="17"/>
      <c r="H21" s="19" t="s">
        <v>18</v>
      </c>
      <c r="I21" s="17"/>
      <c r="J21" s="17"/>
      <c r="K21" s="17"/>
      <c r="L21" s="18"/>
      <c r="M21" s="18"/>
    </row>
    <row r="22" spans="1:13" ht="13.5" thickBot="1">
      <c r="A22" s="16"/>
      <c r="B22" s="17"/>
      <c r="C22" s="17"/>
      <c r="D22" s="17"/>
      <c r="E22" s="17"/>
      <c r="F22" s="17"/>
      <c r="G22" s="17"/>
      <c r="H22" s="16" t="s">
        <v>21</v>
      </c>
      <c r="I22" s="17"/>
      <c r="J22" s="17"/>
      <c r="K22" s="17"/>
      <c r="L22" s="18"/>
      <c r="M22" s="18"/>
    </row>
    <row r="23" spans="1:13" ht="13.5" thickBot="1">
      <c r="A23" s="19" t="s">
        <v>73</v>
      </c>
      <c r="B23" s="17"/>
      <c r="C23" s="17"/>
      <c r="D23" s="17"/>
      <c r="E23" s="17"/>
      <c r="F23" s="6">
        <f>12800*2</f>
        <v>25600</v>
      </c>
      <c r="G23" s="17"/>
      <c r="H23" s="16" t="s">
        <v>19</v>
      </c>
      <c r="I23" s="17"/>
      <c r="J23" s="17"/>
      <c r="K23" s="17"/>
      <c r="L23" s="18"/>
      <c r="M23" s="18"/>
    </row>
    <row r="24" spans="1:13">
      <c r="A24" s="16"/>
      <c r="B24" s="17"/>
      <c r="C24" s="17"/>
      <c r="D24" s="17"/>
      <c r="E24" s="17"/>
      <c r="F24" s="17"/>
      <c r="G24" s="17"/>
      <c r="H24" s="16" t="s">
        <v>105</v>
      </c>
      <c r="I24" s="17"/>
      <c r="J24" s="17"/>
      <c r="K24" s="17"/>
      <c r="L24" s="18"/>
      <c r="M24" s="18"/>
    </row>
    <row r="25" spans="1:13">
      <c r="A25" s="16"/>
      <c r="B25" s="17"/>
      <c r="C25" s="17"/>
      <c r="D25" s="17"/>
      <c r="E25" s="17"/>
      <c r="F25" s="17"/>
      <c r="G25" s="17"/>
      <c r="H25" s="16" t="s">
        <v>20</v>
      </c>
      <c r="I25" s="17"/>
      <c r="J25" s="17"/>
      <c r="K25" s="17"/>
      <c r="L25" s="18"/>
      <c r="M25" s="18"/>
    </row>
    <row r="26" spans="1:13">
      <c r="A26" s="16"/>
      <c r="B26" s="17"/>
      <c r="C26" s="17"/>
      <c r="D26" s="17"/>
      <c r="E26" s="17"/>
      <c r="F26" s="17"/>
      <c r="G26" s="17"/>
      <c r="H26" s="16" t="s">
        <v>22</v>
      </c>
      <c r="I26" s="17"/>
      <c r="J26" s="17"/>
      <c r="K26" s="17"/>
      <c r="L26" s="18"/>
      <c r="M26" s="18"/>
    </row>
    <row r="27" spans="1:13" ht="13.5" thickBot="1">
      <c r="A27" s="16"/>
      <c r="B27" s="17"/>
      <c r="C27" s="17"/>
      <c r="D27" s="17"/>
      <c r="E27" s="17"/>
      <c r="F27" s="40"/>
      <c r="G27" s="17"/>
      <c r="H27" s="27" t="s">
        <v>23</v>
      </c>
      <c r="I27" s="28"/>
      <c r="J27" s="28"/>
      <c r="K27" s="28"/>
      <c r="L27" s="29"/>
      <c r="M27" s="18"/>
    </row>
    <row r="28" spans="1:13" ht="13.5" thickBot="1">
      <c r="A28" s="16"/>
      <c r="B28" s="17"/>
      <c r="C28" s="17"/>
      <c r="D28" s="17"/>
      <c r="E28" s="17"/>
      <c r="F28" s="40"/>
      <c r="G28" s="17"/>
      <c r="H28" s="17"/>
      <c r="I28" s="17"/>
      <c r="J28" s="17"/>
      <c r="K28" s="17"/>
      <c r="L28" s="17"/>
      <c r="M28" s="18"/>
    </row>
    <row r="29" spans="1:13">
      <c r="A29" s="16"/>
      <c r="B29" s="17"/>
      <c r="C29" s="17"/>
      <c r="D29" s="17"/>
      <c r="E29" s="17"/>
      <c r="F29" s="40"/>
      <c r="G29" s="17"/>
      <c r="H29" s="31" t="s">
        <v>165</v>
      </c>
      <c r="I29" s="22"/>
      <c r="J29" s="22"/>
      <c r="K29" s="22"/>
      <c r="L29" s="23"/>
      <c r="M29" s="18"/>
    </row>
    <row r="30" spans="1:13" ht="4.5" customHeight="1">
      <c r="A30" s="16"/>
      <c r="B30" s="17"/>
      <c r="C30" s="17"/>
      <c r="D30" s="17"/>
      <c r="E30" s="17"/>
      <c r="F30" s="40"/>
      <c r="G30" s="17"/>
      <c r="H30" s="16"/>
      <c r="I30" s="17"/>
      <c r="J30" s="17"/>
      <c r="K30" s="17"/>
      <c r="L30" s="18"/>
      <c r="M30" s="18"/>
    </row>
    <row r="31" spans="1:13">
      <c r="A31" s="16"/>
      <c r="B31" s="17"/>
      <c r="C31" s="17"/>
      <c r="D31" s="17"/>
      <c r="E31" s="17"/>
      <c r="F31" s="40"/>
      <c r="G31" s="17"/>
      <c r="H31" s="16" t="s">
        <v>166</v>
      </c>
      <c r="I31" s="17"/>
      <c r="J31" s="17"/>
      <c r="K31" s="17"/>
      <c r="L31" s="18"/>
      <c r="M31" s="18"/>
    </row>
    <row r="32" spans="1:13">
      <c r="A32" s="16"/>
      <c r="B32" s="17"/>
      <c r="C32" s="17"/>
      <c r="D32" s="17"/>
      <c r="E32" s="17"/>
      <c r="F32" s="40"/>
      <c r="G32" s="17"/>
      <c r="H32" s="16" t="s">
        <v>168</v>
      </c>
      <c r="I32" s="17"/>
      <c r="J32" s="17"/>
      <c r="K32" s="17"/>
      <c r="L32" s="18"/>
      <c r="M32" s="18"/>
    </row>
    <row r="33" spans="1:13">
      <c r="A33" s="16"/>
      <c r="B33" s="17"/>
      <c r="C33" s="17"/>
      <c r="D33" s="17"/>
      <c r="E33" s="17"/>
      <c r="F33" s="40"/>
      <c r="G33" s="17"/>
      <c r="H33" s="16" t="s">
        <v>167</v>
      </c>
      <c r="I33" s="17"/>
      <c r="J33" s="17"/>
      <c r="K33" s="17"/>
      <c r="L33" s="18"/>
      <c r="M33" s="18"/>
    </row>
    <row r="34" spans="1:13">
      <c r="A34" s="16"/>
      <c r="B34" s="17"/>
      <c r="C34" s="17"/>
      <c r="D34" s="17"/>
      <c r="E34" s="17"/>
      <c r="F34" s="40"/>
      <c r="G34" s="17"/>
      <c r="H34" s="16" t="s">
        <v>174</v>
      </c>
      <c r="I34" s="17"/>
      <c r="J34" s="17"/>
      <c r="K34" s="17"/>
      <c r="L34" s="18"/>
      <c r="M34" s="18"/>
    </row>
    <row r="35" spans="1:13">
      <c r="A35" s="16"/>
      <c r="B35" s="17"/>
      <c r="C35" s="17"/>
      <c r="D35" s="17"/>
      <c r="E35" s="17"/>
      <c r="F35" s="40"/>
      <c r="G35" s="17"/>
      <c r="H35" s="16" t="s">
        <v>169</v>
      </c>
      <c r="I35" s="17"/>
      <c r="J35" s="17"/>
      <c r="K35" s="17"/>
      <c r="L35" s="18"/>
      <c r="M35" s="18"/>
    </row>
    <row r="36" spans="1:13" ht="13.5" thickBot="1">
      <c r="A36" s="16"/>
      <c r="B36" s="17"/>
      <c r="C36" s="17"/>
      <c r="D36" s="17"/>
      <c r="E36" s="17"/>
      <c r="F36" s="40"/>
      <c r="G36" s="17"/>
      <c r="H36" s="27" t="s">
        <v>170</v>
      </c>
      <c r="I36" s="28"/>
      <c r="J36" s="28"/>
      <c r="K36" s="28"/>
      <c r="L36" s="29"/>
      <c r="M36" s="18"/>
    </row>
    <row r="37" spans="1:13" ht="7.5" customHeight="1" thickBo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9"/>
    </row>
  </sheetData>
  <customSheetViews>
    <customSheetView guid="{ED5E4BD8-70AD-414F-AD0F-BD75B337D161}" showGridLines="0">
      <selection sqref="A1:M1"/>
      <pageMargins left="0.511811024" right="0.511811024" top="0.78740157499999996" bottom="0.78740157499999996" header="0.31496062000000002" footer="0.31496062000000002"/>
      <pageSetup paperSize="9" orientation="portrait" horizontalDpi="90" verticalDpi="90" r:id="rId1"/>
    </customSheetView>
  </customSheetViews>
  <mergeCells count="1">
    <mergeCell ref="A1:M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cro1">
                <anchor moveWithCells="1" sizeWithCells="1">
                  <from>
                    <xdr:col>1</xdr:col>
                    <xdr:colOff>314325</xdr:colOff>
                    <xdr:row>11</xdr:row>
                    <xdr:rowOff>28575</xdr:rowOff>
                  </from>
                  <to>
                    <xdr:col>2</xdr:col>
                    <xdr:colOff>266700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N36"/>
  <sheetViews>
    <sheetView showGridLines="0" zoomScaleNormal="100" workbookViewId="0">
      <selection activeCell="I29" sqref="I29"/>
    </sheetView>
  </sheetViews>
  <sheetFormatPr defaultColWidth="8.85546875" defaultRowHeight="12.75"/>
  <cols>
    <col min="1" max="1" width="49.42578125" customWidth="1"/>
    <col min="2" max="2" width="17.28515625" customWidth="1"/>
    <col min="3" max="3" width="4.42578125" customWidth="1"/>
    <col min="4" max="4" width="16.7109375" customWidth="1"/>
    <col min="6" max="6" width="5.42578125" customWidth="1"/>
    <col min="12" max="12" width="9.140625" customWidth="1"/>
    <col min="13" max="13" width="8" customWidth="1"/>
    <col min="14" max="14" width="5.42578125" customWidth="1"/>
  </cols>
  <sheetData>
    <row r="1" spans="1:14" ht="15.75">
      <c r="A1" s="86" t="s">
        <v>24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8"/>
    </row>
    <row r="2" spans="1:14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8"/>
    </row>
    <row r="3" spans="1:14">
      <c r="A3" s="19" t="s">
        <v>10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8"/>
    </row>
    <row r="4" spans="1:14" ht="13.5" thickBot="1">
      <c r="A4" s="30" t="s">
        <v>55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8"/>
    </row>
    <row r="5" spans="1:14" ht="13.5" thickBot="1">
      <c r="A5" s="16" t="s">
        <v>186</v>
      </c>
      <c r="B5" s="82">
        <v>97500</v>
      </c>
      <c r="C5" s="17" t="s">
        <v>54</v>
      </c>
      <c r="D5" s="17"/>
      <c r="E5" s="17"/>
      <c r="F5" s="17"/>
      <c r="G5" s="20" t="s">
        <v>47</v>
      </c>
      <c r="H5" s="21"/>
      <c r="I5" s="21"/>
      <c r="J5" s="21"/>
      <c r="K5" s="22"/>
      <c r="L5" s="22"/>
      <c r="M5" s="23"/>
      <c r="N5" s="18"/>
    </row>
    <row r="6" spans="1:14" ht="13.5" thickBot="1">
      <c r="A6" s="16" t="s">
        <v>187</v>
      </c>
      <c r="B6" s="82">
        <v>97500</v>
      </c>
      <c r="C6" s="17" t="s">
        <v>54</v>
      </c>
      <c r="D6" s="17"/>
      <c r="E6" s="17"/>
      <c r="F6" s="17"/>
      <c r="G6" s="24" t="s">
        <v>48</v>
      </c>
      <c r="H6" s="25"/>
      <c r="I6" s="25"/>
      <c r="J6" s="25"/>
      <c r="K6" s="17"/>
      <c r="L6" s="17"/>
      <c r="M6" s="18"/>
      <c r="N6" s="18"/>
    </row>
    <row r="7" spans="1:14">
      <c r="A7" s="16"/>
      <c r="B7" s="17"/>
      <c r="C7" s="17"/>
      <c r="D7" s="17"/>
      <c r="E7" s="17"/>
      <c r="F7" s="17"/>
      <c r="G7" s="24" t="s">
        <v>49</v>
      </c>
      <c r="H7" s="25"/>
      <c r="I7" s="25"/>
      <c r="J7" s="25"/>
      <c r="K7" s="17"/>
      <c r="L7" s="17"/>
      <c r="M7" s="18"/>
      <c r="N7" s="18"/>
    </row>
    <row r="8" spans="1:14">
      <c r="A8" s="19" t="s">
        <v>28</v>
      </c>
      <c r="B8" s="17"/>
      <c r="C8" s="17"/>
      <c r="D8" s="17"/>
      <c r="E8" s="17"/>
      <c r="F8" s="17"/>
      <c r="G8" s="24" t="s">
        <v>50</v>
      </c>
      <c r="H8" s="25"/>
      <c r="I8" s="25"/>
      <c r="J8" s="25"/>
      <c r="K8" s="17"/>
      <c r="L8" s="17"/>
      <c r="M8" s="18"/>
      <c r="N8" s="18"/>
    </row>
    <row r="9" spans="1:14">
      <c r="A9" s="16"/>
      <c r="B9" s="26" t="s">
        <v>36</v>
      </c>
      <c r="C9" s="26"/>
      <c r="D9" s="26" t="s">
        <v>37</v>
      </c>
      <c r="E9" s="17"/>
      <c r="F9" s="17"/>
      <c r="G9" s="24" t="s">
        <v>51</v>
      </c>
      <c r="H9" s="25"/>
      <c r="I9" s="25"/>
      <c r="J9" s="25"/>
      <c r="K9" s="17"/>
      <c r="L9" s="17"/>
      <c r="M9" s="18"/>
      <c r="N9" s="18"/>
    </row>
    <row r="10" spans="1:14" ht="13.5" thickBot="1">
      <c r="A10" s="16"/>
      <c r="B10" s="17"/>
      <c r="C10" s="17"/>
      <c r="D10" s="17"/>
      <c r="E10" s="17"/>
      <c r="F10" s="17"/>
      <c r="G10" s="24" t="s">
        <v>52</v>
      </c>
      <c r="H10" s="25"/>
      <c r="I10" s="25"/>
      <c r="J10" s="25"/>
      <c r="K10" s="17"/>
      <c r="L10" s="17"/>
      <c r="M10" s="18"/>
      <c r="N10" s="18"/>
    </row>
    <row r="11" spans="1:14" ht="13.5" thickBot="1">
      <c r="A11" s="16" t="s">
        <v>29</v>
      </c>
      <c r="B11" s="81">
        <v>1</v>
      </c>
      <c r="C11" s="17"/>
      <c r="D11" s="7">
        <v>40</v>
      </c>
      <c r="E11" s="17"/>
      <c r="F11" s="17"/>
      <c r="G11" s="24" t="s">
        <v>53</v>
      </c>
      <c r="H11" s="25"/>
      <c r="I11" s="25"/>
      <c r="J11" s="25"/>
      <c r="K11" s="17"/>
      <c r="L11" s="17"/>
      <c r="M11" s="18"/>
      <c r="N11" s="18"/>
    </row>
    <row r="12" spans="1:14" ht="13.5" thickBot="1">
      <c r="A12" s="16" t="s">
        <v>30</v>
      </c>
      <c r="B12" s="2">
        <v>0</v>
      </c>
      <c r="C12" s="17"/>
      <c r="D12" s="7">
        <v>0</v>
      </c>
      <c r="E12" s="17"/>
      <c r="F12" s="17"/>
      <c r="G12" s="16"/>
      <c r="H12" s="17"/>
      <c r="I12" s="17"/>
      <c r="J12" s="17"/>
      <c r="K12" s="17"/>
      <c r="L12" s="17"/>
      <c r="M12" s="18"/>
      <c r="N12" s="18"/>
    </row>
    <row r="13" spans="1:14" ht="13.5" thickBot="1">
      <c r="A13" s="16" t="s">
        <v>31</v>
      </c>
      <c r="B13" s="2">
        <v>0</v>
      </c>
      <c r="C13" s="17"/>
      <c r="D13" s="7">
        <v>0</v>
      </c>
      <c r="E13" s="17"/>
      <c r="F13" s="17"/>
      <c r="G13" s="16"/>
      <c r="H13" s="17"/>
      <c r="I13" s="17"/>
      <c r="J13" s="17"/>
      <c r="K13" s="17"/>
      <c r="L13" s="17"/>
      <c r="M13" s="18"/>
      <c r="N13" s="18"/>
    </row>
    <row r="14" spans="1:14" ht="13.5" thickBot="1">
      <c r="A14" s="16" t="s">
        <v>32</v>
      </c>
      <c r="B14" s="2">
        <v>0</v>
      </c>
      <c r="C14" s="17"/>
      <c r="D14" s="7">
        <v>0</v>
      </c>
      <c r="E14" s="17"/>
      <c r="F14" s="17"/>
      <c r="G14" s="16"/>
      <c r="H14" s="17"/>
      <c r="I14" s="17"/>
      <c r="J14" s="17"/>
      <c r="K14" s="17"/>
      <c r="L14" s="17"/>
      <c r="M14" s="18"/>
      <c r="N14" s="18"/>
    </row>
    <row r="15" spans="1:14" ht="13.5" thickBot="1">
      <c r="A15" s="16" t="s">
        <v>33</v>
      </c>
      <c r="B15" s="2">
        <v>0</v>
      </c>
      <c r="C15" s="17"/>
      <c r="D15" s="7">
        <v>0</v>
      </c>
      <c r="E15" s="17"/>
      <c r="F15" s="17"/>
      <c r="G15" s="27"/>
      <c r="H15" s="28"/>
      <c r="I15" s="28"/>
      <c r="J15" s="28"/>
      <c r="K15" s="28"/>
      <c r="L15" s="28"/>
      <c r="M15" s="29"/>
      <c r="N15" s="18"/>
    </row>
    <row r="16" spans="1:14" ht="13.5" thickBot="1">
      <c r="A16" s="16" t="s">
        <v>34</v>
      </c>
      <c r="B16" s="2">
        <v>0</v>
      </c>
      <c r="C16" s="17"/>
      <c r="D16" s="7">
        <v>0</v>
      </c>
      <c r="E16" s="17"/>
      <c r="F16" s="17"/>
      <c r="G16" s="17"/>
      <c r="H16" s="17"/>
      <c r="I16" s="17"/>
      <c r="J16" s="17"/>
      <c r="K16" s="17"/>
      <c r="L16" s="17"/>
      <c r="M16" s="17"/>
      <c r="N16" s="18"/>
    </row>
    <row r="17" spans="1:14" ht="13.5" thickBot="1">
      <c r="A17" s="16" t="s">
        <v>35</v>
      </c>
      <c r="B17" s="2">
        <v>0</v>
      </c>
      <c r="C17" s="17"/>
      <c r="D17" s="7">
        <v>0</v>
      </c>
      <c r="E17" s="17"/>
      <c r="F17" s="17"/>
      <c r="G17" s="31" t="s">
        <v>165</v>
      </c>
      <c r="H17" s="22"/>
      <c r="I17" s="22"/>
      <c r="J17" s="22"/>
      <c r="K17" s="22"/>
      <c r="L17" s="22"/>
      <c r="M17" s="23"/>
      <c r="N17" s="18"/>
    </row>
    <row r="18" spans="1:14" ht="13.5" thickBot="1">
      <c r="A18" s="16"/>
      <c r="B18" s="17"/>
      <c r="C18" s="17"/>
      <c r="D18" s="17"/>
      <c r="E18" s="17"/>
      <c r="F18" s="17"/>
      <c r="G18" s="16"/>
      <c r="H18" s="17"/>
      <c r="I18" s="17"/>
      <c r="J18" s="17"/>
      <c r="K18" s="17"/>
      <c r="L18" s="17"/>
      <c r="M18" s="18"/>
      <c r="N18" s="18"/>
    </row>
    <row r="19" spans="1:14" ht="13.5" thickBot="1">
      <c r="A19" s="19" t="s">
        <v>75</v>
      </c>
      <c r="B19" s="6">
        <v>40</v>
      </c>
      <c r="C19" s="17"/>
      <c r="D19" s="17"/>
      <c r="E19" s="17"/>
      <c r="F19" s="17"/>
      <c r="G19" s="24" t="s">
        <v>171</v>
      </c>
      <c r="H19" s="17"/>
      <c r="I19" s="17"/>
      <c r="J19" s="17"/>
      <c r="K19" s="17"/>
      <c r="L19" s="17"/>
      <c r="M19" s="18"/>
      <c r="N19" s="18"/>
    </row>
    <row r="20" spans="1:14">
      <c r="A20" s="16"/>
      <c r="B20" s="17"/>
      <c r="C20" s="17"/>
      <c r="D20" s="17"/>
      <c r="E20" s="17"/>
      <c r="F20" s="17"/>
      <c r="G20" s="24" t="s">
        <v>172</v>
      </c>
      <c r="H20" s="17"/>
      <c r="I20" s="17"/>
      <c r="J20" s="17"/>
      <c r="K20" s="17"/>
      <c r="L20" s="17"/>
      <c r="M20" s="18"/>
      <c r="N20" s="18"/>
    </row>
    <row r="21" spans="1:14">
      <c r="A21" s="19" t="s">
        <v>38</v>
      </c>
      <c r="B21" s="17"/>
      <c r="C21" s="17"/>
      <c r="D21" s="17"/>
      <c r="E21" s="17"/>
      <c r="F21" s="17"/>
      <c r="G21" s="24" t="s">
        <v>173</v>
      </c>
      <c r="H21" s="17"/>
      <c r="I21" s="17"/>
      <c r="J21" s="17"/>
      <c r="K21" s="17"/>
      <c r="L21" s="17"/>
      <c r="M21" s="18"/>
      <c r="N21" s="18"/>
    </row>
    <row r="22" spans="1:14">
      <c r="A22" s="16"/>
      <c r="B22" s="26" t="s">
        <v>36</v>
      </c>
      <c r="C22" s="26"/>
      <c r="D22" s="26" t="s">
        <v>37</v>
      </c>
      <c r="E22" s="26"/>
      <c r="F22" s="17"/>
      <c r="G22" s="24" t="s">
        <v>177</v>
      </c>
      <c r="H22" s="17"/>
      <c r="I22" s="17"/>
      <c r="J22" s="17"/>
      <c r="K22" s="17"/>
      <c r="L22" s="17"/>
      <c r="M22" s="18"/>
      <c r="N22" s="18"/>
    </row>
    <row r="23" spans="1:14" ht="13.5" thickBot="1">
      <c r="A23" s="16"/>
      <c r="B23" s="17"/>
      <c r="C23" s="17"/>
      <c r="D23" s="17"/>
      <c r="E23" s="17"/>
      <c r="F23" s="17"/>
      <c r="G23" s="24" t="s">
        <v>175</v>
      </c>
      <c r="H23" s="17"/>
      <c r="I23" s="17"/>
      <c r="J23" s="17"/>
      <c r="K23" s="17"/>
      <c r="L23" s="17"/>
      <c r="M23" s="18"/>
      <c r="N23" s="18"/>
    </row>
    <row r="24" spans="1:14" ht="13.5" thickBot="1">
      <c r="A24" s="16" t="s">
        <v>39</v>
      </c>
      <c r="B24" s="3">
        <v>1</v>
      </c>
      <c r="C24" s="17"/>
      <c r="D24" s="7">
        <v>97500</v>
      </c>
      <c r="E24" s="17"/>
      <c r="F24" s="17"/>
      <c r="G24" s="80" t="s">
        <v>176</v>
      </c>
      <c r="H24" s="28"/>
      <c r="I24" s="28"/>
      <c r="J24" s="28"/>
      <c r="K24" s="28"/>
      <c r="L24" s="28"/>
      <c r="M24" s="29"/>
      <c r="N24" s="18"/>
    </row>
    <row r="25" spans="1:14" ht="13.5" thickBot="1">
      <c r="A25" s="16" t="s">
        <v>40</v>
      </c>
      <c r="B25" s="2">
        <v>0</v>
      </c>
      <c r="C25" s="17"/>
      <c r="D25" s="7">
        <v>0</v>
      </c>
      <c r="E25" s="17"/>
      <c r="F25" s="17"/>
      <c r="G25" s="17"/>
      <c r="H25" s="17"/>
      <c r="I25" s="17"/>
      <c r="J25" s="17"/>
      <c r="K25" s="17"/>
      <c r="L25" s="17"/>
      <c r="M25" s="17"/>
      <c r="N25" s="18"/>
    </row>
    <row r="26" spans="1:14" ht="13.5" thickBot="1">
      <c r="A26" s="16" t="s">
        <v>41</v>
      </c>
      <c r="B26" s="2">
        <v>0</v>
      </c>
      <c r="C26" s="17"/>
      <c r="D26" s="7">
        <v>0</v>
      </c>
      <c r="E26" s="17"/>
      <c r="F26" s="17"/>
      <c r="G26" s="17"/>
      <c r="H26" s="17"/>
      <c r="I26" s="17"/>
      <c r="J26" s="17"/>
      <c r="K26" s="17"/>
      <c r="L26" s="17"/>
      <c r="M26" s="17"/>
      <c r="N26" s="18"/>
    </row>
    <row r="27" spans="1:14" ht="13.5" thickBot="1">
      <c r="A27" s="16" t="s">
        <v>42</v>
      </c>
      <c r="B27" s="2">
        <v>0</v>
      </c>
      <c r="C27" s="17"/>
      <c r="D27" s="7">
        <v>0</v>
      </c>
      <c r="E27" s="17"/>
      <c r="F27" s="17"/>
      <c r="G27" s="17"/>
      <c r="H27" s="17"/>
      <c r="I27" s="17"/>
      <c r="J27" s="17"/>
      <c r="K27" s="17"/>
      <c r="L27" s="17"/>
      <c r="M27" s="17"/>
      <c r="N27" s="18"/>
    </row>
    <row r="28" spans="1:14" ht="13.5" thickBot="1">
      <c r="A28" s="16" t="s">
        <v>43</v>
      </c>
      <c r="B28" s="2">
        <v>0</v>
      </c>
      <c r="C28" s="17"/>
      <c r="D28" s="7">
        <v>0</v>
      </c>
      <c r="E28" s="17"/>
      <c r="F28" s="17"/>
      <c r="G28" s="17"/>
      <c r="H28" s="17">
        <v>1</v>
      </c>
      <c r="I28" s="17">
        <v>2.5</v>
      </c>
      <c r="J28" s="17"/>
      <c r="K28" s="17"/>
      <c r="L28" s="17"/>
      <c r="M28" s="17"/>
      <c r="N28" s="18"/>
    </row>
    <row r="29" spans="1:14" ht="13.5" thickBot="1">
      <c r="A29" s="16" t="s">
        <v>44</v>
      </c>
      <c r="B29" s="2">
        <v>0</v>
      </c>
      <c r="C29" s="17"/>
      <c r="D29" s="7">
        <v>0</v>
      </c>
      <c r="E29" s="17"/>
      <c r="F29" s="17"/>
      <c r="G29" s="17"/>
      <c r="H29" s="17">
        <v>78000</v>
      </c>
      <c r="I29" s="17">
        <f>H29*I28</f>
        <v>195000</v>
      </c>
      <c r="J29" s="17"/>
      <c r="K29" s="17"/>
      <c r="L29" s="17"/>
      <c r="M29" s="17"/>
      <c r="N29" s="18"/>
    </row>
    <row r="30" spans="1:14" ht="13.5" thickBot="1">
      <c r="A30" s="16" t="s">
        <v>45</v>
      </c>
      <c r="B30" s="2">
        <v>0</v>
      </c>
      <c r="C30" s="17"/>
      <c r="D30" s="7">
        <v>0</v>
      </c>
      <c r="E30" s="17"/>
      <c r="F30" s="17"/>
      <c r="G30" s="17"/>
      <c r="H30" s="17"/>
      <c r="I30" s="17"/>
      <c r="J30" s="17"/>
      <c r="K30" s="17"/>
      <c r="L30" s="17"/>
      <c r="M30" s="17"/>
      <c r="N30" s="18"/>
    </row>
    <row r="31" spans="1:14" ht="13.5" thickBot="1">
      <c r="A31" s="16" t="s">
        <v>46</v>
      </c>
      <c r="B31" s="2">
        <v>0</v>
      </c>
      <c r="C31" s="17"/>
      <c r="D31" s="7">
        <v>0</v>
      </c>
      <c r="E31" s="17"/>
      <c r="F31" s="17"/>
      <c r="G31" s="17"/>
      <c r="H31" s="17"/>
      <c r="I31" s="17"/>
      <c r="J31" s="17"/>
      <c r="K31" s="17"/>
      <c r="L31" s="17"/>
      <c r="M31" s="17"/>
      <c r="N31" s="18"/>
    </row>
    <row r="32" spans="1:14" ht="13.5" thickBot="1">
      <c r="A32" s="16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8"/>
    </row>
    <row r="33" spans="1:14" ht="13.5" thickBot="1">
      <c r="A33" s="19" t="s">
        <v>76</v>
      </c>
      <c r="B33" s="7">
        <v>97500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8"/>
    </row>
    <row r="34" spans="1:14" ht="13.5" thickBot="1">
      <c r="A34" s="16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8"/>
    </row>
    <row r="35" spans="1:14" ht="13.5" thickBot="1">
      <c r="A35" s="19" t="s">
        <v>74</v>
      </c>
      <c r="B35" s="7">
        <f>B19+B33</f>
        <v>97540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8"/>
    </row>
    <row r="36" spans="1:14" ht="13.5" thickBo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9"/>
    </row>
  </sheetData>
  <customSheetViews>
    <customSheetView guid="{ED5E4BD8-70AD-414F-AD0F-BD75B337D161}" showGridLines="0">
      <selection activeCell="I29" sqref="I29"/>
      <pageMargins left="0.511811024" right="0.511811024" top="0.78740157499999996" bottom="0.78740157499999996" header="0.31496062000000002" footer="0.31496062000000002"/>
    </customSheetView>
  </customSheetViews>
  <mergeCells count="1">
    <mergeCell ref="A1:N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cro2">
                <anchor moveWithCells="1" sizeWithCells="1">
                  <from>
                    <xdr:col>0</xdr:col>
                    <xdr:colOff>2657475</xdr:colOff>
                    <xdr:row>17</xdr:row>
                    <xdr:rowOff>161925</xdr:rowOff>
                  </from>
                  <to>
                    <xdr:col>0</xdr:col>
                    <xdr:colOff>3200400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cro3">
                <anchor moveWithCells="1" sizeWithCells="1">
                  <from>
                    <xdr:col>0</xdr:col>
                    <xdr:colOff>2667000</xdr:colOff>
                    <xdr:row>32</xdr:row>
                    <xdr:rowOff>9525</xdr:rowOff>
                  </from>
                  <to>
                    <xdr:col>0</xdr:col>
                    <xdr:colOff>3200400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O40"/>
  <sheetViews>
    <sheetView showGridLines="0" workbookViewId="0">
      <selection activeCell="A44" sqref="A44"/>
    </sheetView>
  </sheetViews>
  <sheetFormatPr defaultColWidth="8.85546875" defaultRowHeight="12.75"/>
  <cols>
    <col min="1" max="2" width="39.7109375" bestFit="1" customWidth="1"/>
    <col min="3" max="3" width="2.7109375" customWidth="1"/>
    <col min="4" max="4" width="10.7109375" customWidth="1"/>
    <col min="5" max="5" width="2.7109375" customWidth="1"/>
    <col min="6" max="6" width="16.42578125" customWidth="1"/>
    <col min="14" max="14" width="10" customWidth="1"/>
    <col min="15" max="15" width="1.140625" customWidth="1"/>
  </cols>
  <sheetData>
    <row r="1" spans="1:15" ht="15.75">
      <c r="A1" s="86" t="s">
        <v>184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8"/>
    </row>
    <row r="2" spans="1:15">
      <c r="A2" s="30" t="s">
        <v>55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8"/>
    </row>
    <row r="3" spans="1:15">
      <c r="A3" s="19" t="s">
        <v>10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8"/>
    </row>
    <row r="4" spans="1:15" ht="13.5" thickBot="1">
      <c r="A4" s="16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8"/>
    </row>
    <row r="5" spans="1:15" ht="13.5" thickBot="1">
      <c r="A5" s="19" t="s">
        <v>58</v>
      </c>
      <c r="B5" s="1" t="s">
        <v>56</v>
      </c>
      <c r="C5" s="17"/>
      <c r="D5" s="17"/>
      <c r="E5" s="17"/>
      <c r="F5" s="17"/>
      <c r="G5" s="17"/>
      <c r="H5" s="20" t="s">
        <v>47</v>
      </c>
      <c r="I5" s="21"/>
      <c r="J5" s="21"/>
      <c r="K5" s="21"/>
      <c r="L5" s="22"/>
      <c r="M5" s="22"/>
      <c r="N5" s="23"/>
      <c r="O5" s="18"/>
    </row>
    <row r="6" spans="1:15">
      <c r="A6" s="16"/>
      <c r="B6" s="17"/>
      <c r="C6" s="17"/>
      <c r="D6" s="17"/>
      <c r="E6" s="17"/>
      <c r="F6" s="17"/>
      <c r="G6" s="17"/>
      <c r="H6" s="24" t="s">
        <v>63</v>
      </c>
      <c r="I6" s="25"/>
      <c r="J6" s="25"/>
      <c r="K6" s="25"/>
      <c r="L6" s="17"/>
      <c r="M6" s="17"/>
      <c r="N6" s="18"/>
      <c r="O6" s="18"/>
    </row>
    <row r="7" spans="1:15">
      <c r="A7" s="19" t="s">
        <v>59</v>
      </c>
      <c r="B7" s="26" t="s">
        <v>57</v>
      </c>
      <c r="C7" s="17"/>
      <c r="D7" s="26" t="s">
        <v>60</v>
      </c>
      <c r="E7" s="17"/>
      <c r="F7" s="26" t="s">
        <v>61</v>
      </c>
      <c r="G7" s="17"/>
      <c r="H7" s="24" t="s">
        <v>64</v>
      </c>
      <c r="I7" s="25"/>
      <c r="J7" s="25"/>
      <c r="K7" s="25"/>
      <c r="L7" s="17"/>
      <c r="M7" s="17"/>
      <c r="N7" s="18"/>
      <c r="O7" s="18"/>
    </row>
    <row r="8" spans="1:15" ht="13.5" thickBot="1">
      <c r="A8" s="19"/>
      <c r="B8" s="26"/>
      <c r="C8" s="17"/>
      <c r="D8" s="26"/>
      <c r="E8" s="17"/>
      <c r="F8" s="26"/>
      <c r="G8" s="17"/>
      <c r="H8" s="24" t="s">
        <v>65</v>
      </c>
      <c r="I8" s="25"/>
      <c r="J8" s="25"/>
      <c r="K8" s="25"/>
      <c r="L8" s="17"/>
      <c r="M8" s="17"/>
      <c r="N8" s="18"/>
      <c r="O8" s="18"/>
    </row>
    <row r="9" spans="1:15" ht="13.5" thickBot="1">
      <c r="A9" s="2" t="s">
        <v>188</v>
      </c>
      <c r="B9" s="81">
        <v>1</v>
      </c>
      <c r="C9" s="17"/>
      <c r="D9" s="8">
        <v>30</v>
      </c>
      <c r="E9" s="17"/>
      <c r="F9" s="7">
        <v>30</v>
      </c>
      <c r="G9" s="17"/>
      <c r="H9" s="24" t="s">
        <v>66</v>
      </c>
      <c r="I9" s="25"/>
      <c r="J9" s="25"/>
      <c r="K9" s="25"/>
      <c r="L9" s="17"/>
      <c r="M9" s="17"/>
      <c r="N9" s="18"/>
      <c r="O9" s="18"/>
    </row>
    <row r="10" spans="1:15" ht="13.5" thickBot="1">
      <c r="A10" s="2" t="s">
        <v>189</v>
      </c>
      <c r="B10" s="81">
        <v>1</v>
      </c>
      <c r="C10" s="17"/>
      <c r="D10" s="8">
        <v>110</v>
      </c>
      <c r="E10" s="17"/>
      <c r="F10" s="7">
        <v>110</v>
      </c>
      <c r="G10" s="17"/>
      <c r="H10" s="24" t="s">
        <v>67</v>
      </c>
      <c r="I10" s="25"/>
      <c r="J10" s="25"/>
      <c r="K10" s="25"/>
      <c r="L10" s="17"/>
      <c r="M10" s="17"/>
      <c r="N10" s="18"/>
      <c r="O10" s="18"/>
    </row>
    <row r="11" spans="1:15" ht="13.5" thickBot="1">
      <c r="A11" s="2" t="s">
        <v>192</v>
      </c>
      <c r="B11" s="81">
        <v>1</v>
      </c>
      <c r="C11" s="17"/>
      <c r="D11" s="8">
        <v>2.04</v>
      </c>
      <c r="E11" s="17"/>
      <c r="F11" s="7">
        <f>D11</f>
        <v>2.04</v>
      </c>
      <c r="G11" s="17"/>
      <c r="H11" s="24"/>
      <c r="I11" s="25"/>
      <c r="J11" s="25"/>
      <c r="K11" s="25"/>
      <c r="L11" s="17"/>
      <c r="M11" s="17"/>
      <c r="N11" s="18"/>
      <c r="O11" s="18"/>
    </row>
    <row r="12" spans="1:15" ht="13.5" thickBot="1">
      <c r="A12" s="2" t="s">
        <v>196</v>
      </c>
      <c r="B12" s="3">
        <v>1</v>
      </c>
      <c r="C12" s="17"/>
      <c r="D12" s="8">
        <v>5.35</v>
      </c>
      <c r="E12" s="17"/>
      <c r="F12" s="7">
        <f>D12</f>
        <v>5.35</v>
      </c>
      <c r="G12" s="17"/>
      <c r="H12" s="16"/>
      <c r="I12" s="17"/>
      <c r="J12" s="17"/>
      <c r="K12" s="17"/>
      <c r="L12" s="17"/>
      <c r="M12" s="17"/>
      <c r="N12" s="18"/>
      <c r="O12" s="18"/>
    </row>
    <row r="13" spans="1:15" ht="13.5" thickBot="1">
      <c r="A13" s="16"/>
      <c r="B13" s="3">
        <v>0</v>
      </c>
      <c r="C13" s="17"/>
      <c r="D13" s="8">
        <v>0</v>
      </c>
      <c r="E13" s="17"/>
      <c r="F13" s="7">
        <v>0</v>
      </c>
      <c r="G13" s="17"/>
      <c r="H13" s="16"/>
      <c r="I13" s="17"/>
      <c r="J13" s="17"/>
      <c r="K13" s="17"/>
      <c r="L13" s="17"/>
      <c r="M13" s="17"/>
      <c r="N13" s="18"/>
      <c r="O13" s="18"/>
    </row>
    <row r="14" spans="1:15" ht="13.5" thickBot="1">
      <c r="A14" s="16"/>
      <c r="B14" s="3">
        <v>0</v>
      </c>
      <c r="C14" s="17"/>
      <c r="D14" s="8">
        <v>0</v>
      </c>
      <c r="E14" s="17"/>
      <c r="F14" s="7">
        <v>0</v>
      </c>
      <c r="G14" s="17"/>
      <c r="H14" s="27"/>
      <c r="I14" s="28"/>
      <c r="J14" s="28"/>
      <c r="K14" s="28"/>
      <c r="L14" s="28"/>
      <c r="M14" s="28"/>
      <c r="N14" s="29"/>
      <c r="O14" s="18"/>
    </row>
    <row r="15" spans="1:15" ht="13.5" thickBot="1">
      <c r="A15" s="16"/>
      <c r="B15" s="3">
        <v>0</v>
      </c>
      <c r="C15" s="17"/>
      <c r="D15" s="8">
        <v>0</v>
      </c>
      <c r="E15" s="17"/>
      <c r="F15" s="7">
        <v>0</v>
      </c>
      <c r="G15" s="17"/>
      <c r="H15" s="17"/>
      <c r="I15" s="17"/>
      <c r="J15" s="17"/>
      <c r="K15" s="17"/>
      <c r="L15" s="17"/>
      <c r="M15" s="17"/>
      <c r="N15" s="17"/>
      <c r="O15" s="18"/>
    </row>
    <row r="16" spans="1:15" ht="13.5" thickBot="1">
      <c r="A16" s="16"/>
      <c r="B16" s="3">
        <v>0</v>
      </c>
      <c r="C16" s="17"/>
      <c r="D16" s="8">
        <v>0</v>
      </c>
      <c r="E16" s="17"/>
      <c r="F16" s="7">
        <v>0</v>
      </c>
      <c r="G16" s="17"/>
      <c r="H16" s="31" t="s">
        <v>178</v>
      </c>
      <c r="I16" s="22"/>
      <c r="J16" s="22"/>
      <c r="K16" s="22"/>
      <c r="L16" s="22"/>
      <c r="M16" s="22"/>
      <c r="N16" s="23"/>
      <c r="O16" s="18"/>
    </row>
    <row r="17" spans="1:15" ht="13.5" thickBot="1">
      <c r="A17" s="16"/>
      <c r="B17" s="3">
        <v>0</v>
      </c>
      <c r="C17" s="17"/>
      <c r="D17" s="8">
        <v>0</v>
      </c>
      <c r="E17" s="17"/>
      <c r="F17" s="7">
        <v>0</v>
      </c>
      <c r="G17" s="17"/>
      <c r="H17" s="16"/>
      <c r="I17" s="17"/>
      <c r="J17" s="17"/>
      <c r="K17" s="17"/>
      <c r="L17" s="17"/>
      <c r="M17" s="17"/>
      <c r="N17" s="18"/>
      <c r="O17" s="18"/>
    </row>
    <row r="18" spans="1:15" ht="13.5" thickBot="1">
      <c r="A18" s="16"/>
      <c r="B18" s="3">
        <v>0</v>
      </c>
      <c r="C18" s="17"/>
      <c r="D18" s="8">
        <v>0</v>
      </c>
      <c r="E18" s="17"/>
      <c r="F18" s="7">
        <v>0</v>
      </c>
      <c r="G18" s="17"/>
      <c r="H18" s="16" t="s">
        <v>179</v>
      </c>
      <c r="I18" s="17"/>
      <c r="J18" s="17"/>
      <c r="K18" s="17"/>
      <c r="L18" s="17"/>
      <c r="M18" s="17"/>
      <c r="N18" s="18"/>
      <c r="O18" s="18"/>
    </row>
    <row r="19" spans="1:15" ht="13.5" thickBot="1">
      <c r="A19" s="16"/>
      <c r="B19" s="17"/>
      <c r="C19" s="17"/>
      <c r="D19" s="17"/>
      <c r="E19" s="17"/>
      <c r="F19" s="17"/>
      <c r="G19" s="17"/>
      <c r="H19" s="16" t="s">
        <v>180</v>
      </c>
      <c r="I19" s="17"/>
      <c r="J19" s="17"/>
      <c r="K19" s="17"/>
      <c r="L19" s="17"/>
      <c r="M19" s="17"/>
      <c r="N19" s="18"/>
      <c r="O19" s="18"/>
    </row>
    <row r="20" spans="1:15" ht="13.5" thickBot="1">
      <c r="A20" s="19" t="s">
        <v>158</v>
      </c>
      <c r="B20" s="17"/>
      <c r="C20" s="17"/>
      <c r="D20" s="7">
        <f>SUM(F9:F18)</f>
        <v>147.38999999999999</v>
      </c>
      <c r="E20" s="17"/>
      <c r="F20" s="17"/>
      <c r="G20" s="17"/>
      <c r="H20" s="16" t="s">
        <v>181</v>
      </c>
      <c r="I20" s="17"/>
      <c r="J20" s="17"/>
      <c r="K20" s="17"/>
      <c r="L20" s="17"/>
      <c r="M20" s="17"/>
      <c r="N20" s="18"/>
      <c r="O20" s="18"/>
    </row>
    <row r="21" spans="1:15" ht="13.5" thickBot="1">
      <c r="A21" s="16"/>
      <c r="B21" s="17"/>
      <c r="C21" s="17"/>
      <c r="D21" s="17"/>
      <c r="E21" s="17"/>
      <c r="F21" s="17"/>
      <c r="G21" s="17"/>
      <c r="H21" s="16" t="s">
        <v>182</v>
      </c>
      <c r="I21" s="17"/>
      <c r="J21" s="17"/>
      <c r="K21" s="17"/>
      <c r="L21" s="17"/>
      <c r="M21" s="17"/>
      <c r="N21" s="18"/>
      <c r="O21" s="18"/>
    </row>
    <row r="22" spans="1:15" ht="13.5" thickBot="1">
      <c r="A22" s="19" t="s">
        <v>58</v>
      </c>
      <c r="B22" s="1" t="s">
        <v>62</v>
      </c>
      <c r="C22" s="17"/>
      <c r="D22" s="17"/>
      <c r="E22" s="17"/>
      <c r="F22" s="17"/>
      <c r="G22" s="17"/>
      <c r="H22" s="27" t="s">
        <v>183</v>
      </c>
      <c r="I22" s="28"/>
      <c r="J22" s="28"/>
      <c r="K22" s="28"/>
      <c r="L22" s="28"/>
      <c r="M22" s="28"/>
      <c r="N22" s="29"/>
      <c r="O22" s="18"/>
    </row>
    <row r="23" spans="1:15">
      <c r="A23" s="16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19" t="s">
        <v>59</v>
      </c>
      <c r="B24" s="26" t="s">
        <v>57</v>
      </c>
      <c r="C24" s="17"/>
      <c r="D24" s="26" t="s">
        <v>60</v>
      </c>
      <c r="E24" s="17"/>
      <c r="F24" s="26" t="s">
        <v>61</v>
      </c>
      <c r="G24" s="17"/>
      <c r="H24" s="17"/>
      <c r="I24" s="17"/>
      <c r="J24" s="17"/>
      <c r="K24" s="17"/>
      <c r="L24" s="17"/>
      <c r="M24" s="17"/>
      <c r="N24" s="17"/>
      <c r="O24" s="18"/>
    </row>
    <row r="25" spans="1:15" ht="13.5" thickBot="1">
      <c r="A25" s="19"/>
      <c r="B25" s="26"/>
      <c r="C25" s="17"/>
      <c r="D25" s="26"/>
      <c r="E25" s="17"/>
      <c r="F25" s="26"/>
      <c r="G25" s="17"/>
      <c r="H25" s="17"/>
      <c r="I25" s="17"/>
      <c r="J25" s="17"/>
      <c r="K25" s="17"/>
      <c r="L25" s="17"/>
      <c r="M25" s="17"/>
      <c r="N25" s="17"/>
      <c r="O25" s="18"/>
    </row>
    <row r="26" spans="1:15" ht="13.5" thickBot="1">
      <c r="A26" s="2" t="s">
        <v>190</v>
      </c>
      <c r="B26" s="81">
        <v>1</v>
      </c>
      <c r="C26" s="17"/>
      <c r="D26" s="8">
        <v>40</v>
      </c>
      <c r="E26" s="17"/>
      <c r="F26" s="7">
        <v>40</v>
      </c>
      <c r="G26" s="17"/>
      <c r="H26" s="17"/>
      <c r="I26" s="17"/>
      <c r="J26" s="17"/>
      <c r="K26" s="17"/>
      <c r="L26" s="17"/>
      <c r="M26" s="17"/>
      <c r="N26" s="17"/>
      <c r="O26" s="18"/>
    </row>
    <row r="27" spans="1:15" ht="13.5" thickBot="1">
      <c r="A27" s="2" t="s">
        <v>191</v>
      </c>
      <c r="B27" s="81">
        <v>1</v>
      </c>
      <c r="C27" s="17"/>
      <c r="D27" s="8">
        <v>22.9</v>
      </c>
      <c r="E27" s="17"/>
      <c r="F27" s="7">
        <v>22.9</v>
      </c>
      <c r="G27" s="17"/>
      <c r="H27" s="17"/>
      <c r="I27" s="17"/>
      <c r="J27" s="17"/>
      <c r="K27" s="17"/>
      <c r="L27" s="17"/>
      <c r="M27" s="17"/>
      <c r="N27" s="17"/>
      <c r="O27" s="18"/>
    </row>
    <row r="28" spans="1:15" ht="13.5" thickBot="1">
      <c r="A28" s="2" t="s">
        <v>193</v>
      </c>
      <c r="B28" s="81">
        <v>1</v>
      </c>
      <c r="C28" s="17"/>
      <c r="D28" s="8">
        <v>29.9</v>
      </c>
      <c r="E28" s="17"/>
      <c r="F28" s="7">
        <v>29.9</v>
      </c>
      <c r="G28" s="17"/>
      <c r="H28" s="17"/>
      <c r="I28" s="17"/>
      <c r="J28" s="17"/>
      <c r="K28" s="17"/>
      <c r="L28" s="17"/>
      <c r="M28" s="17"/>
      <c r="N28" s="17"/>
      <c r="O28" s="18"/>
    </row>
    <row r="29" spans="1:15" ht="13.5" thickBot="1">
      <c r="A29" s="2" t="s">
        <v>194</v>
      </c>
      <c r="B29" s="81">
        <v>1</v>
      </c>
      <c r="C29" s="17"/>
      <c r="D29" s="8">
        <v>59.42</v>
      </c>
      <c r="E29" s="17"/>
      <c r="F29" s="7">
        <v>59.42</v>
      </c>
      <c r="G29" s="17"/>
      <c r="H29" s="17"/>
      <c r="I29" s="17"/>
      <c r="J29" s="17"/>
      <c r="K29" s="17"/>
      <c r="L29" s="17"/>
      <c r="M29" s="17"/>
      <c r="N29" s="17"/>
      <c r="O29" s="18"/>
    </row>
    <row r="30" spans="1:15" ht="13.5" thickBot="1">
      <c r="A30" s="2" t="s">
        <v>195</v>
      </c>
      <c r="B30" s="81">
        <v>1</v>
      </c>
      <c r="C30" s="17"/>
      <c r="D30" s="8">
        <v>44.52</v>
      </c>
      <c r="E30" s="17"/>
      <c r="F30" s="7">
        <f>D30</f>
        <v>44.52</v>
      </c>
      <c r="G30" s="17"/>
      <c r="H30" s="17"/>
      <c r="I30" s="17"/>
      <c r="J30" s="17"/>
      <c r="K30" s="17"/>
      <c r="L30" s="17"/>
      <c r="M30" s="17"/>
      <c r="N30" s="17"/>
      <c r="O30" s="18"/>
    </row>
    <row r="31" spans="1:15" ht="13.5" thickBot="1">
      <c r="A31" s="16"/>
      <c r="B31" s="3">
        <v>0</v>
      </c>
      <c r="C31" s="17"/>
      <c r="D31" s="8">
        <v>0</v>
      </c>
      <c r="E31" s="17"/>
      <c r="F31" s="7">
        <v>0</v>
      </c>
      <c r="G31" s="17"/>
      <c r="H31" s="17"/>
      <c r="I31" s="17"/>
      <c r="J31" s="17"/>
      <c r="K31" s="17"/>
      <c r="L31" s="17"/>
      <c r="M31" s="17"/>
      <c r="N31" s="17"/>
      <c r="O31" s="18"/>
    </row>
    <row r="32" spans="1:15" ht="13.5" thickBot="1">
      <c r="A32" s="16"/>
      <c r="B32" s="3">
        <v>0</v>
      </c>
      <c r="C32" s="17"/>
      <c r="D32" s="8">
        <v>0</v>
      </c>
      <c r="E32" s="17"/>
      <c r="F32" s="7">
        <v>0</v>
      </c>
      <c r="G32" s="17"/>
      <c r="H32" s="17"/>
      <c r="I32" s="17"/>
      <c r="J32" s="17"/>
      <c r="K32" s="17"/>
      <c r="L32" s="17"/>
      <c r="M32" s="17"/>
      <c r="N32" s="17"/>
      <c r="O32" s="18"/>
    </row>
    <row r="33" spans="1:15" ht="13.5" thickBot="1">
      <c r="A33" s="16"/>
      <c r="B33" s="3">
        <v>0</v>
      </c>
      <c r="C33" s="17"/>
      <c r="D33" s="8">
        <v>0</v>
      </c>
      <c r="E33" s="17"/>
      <c r="F33" s="7">
        <v>0</v>
      </c>
      <c r="G33" s="17"/>
      <c r="H33" s="17"/>
      <c r="I33" s="17"/>
      <c r="J33" s="17"/>
      <c r="K33" s="17"/>
      <c r="L33" s="17"/>
      <c r="M33" s="17"/>
      <c r="N33" s="17"/>
      <c r="O33" s="18"/>
    </row>
    <row r="34" spans="1:15" ht="13.5" thickBot="1">
      <c r="A34" s="16"/>
      <c r="B34" s="3">
        <v>0</v>
      </c>
      <c r="C34" s="17"/>
      <c r="D34" s="8">
        <v>0</v>
      </c>
      <c r="E34" s="17"/>
      <c r="F34" s="7">
        <v>0</v>
      </c>
      <c r="G34" s="17"/>
      <c r="H34" s="17"/>
      <c r="I34" s="17"/>
      <c r="J34" s="17"/>
      <c r="K34" s="17"/>
      <c r="L34" s="17"/>
      <c r="M34" s="17"/>
      <c r="N34" s="17"/>
      <c r="O34" s="18"/>
    </row>
    <row r="35" spans="1:15" ht="13.5" thickBot="1">
      <c r="A35" s="16"/>
      <c r="B35" s="3">
        <v>0</v>
      </c>
      <c r="C35" s="17"/>
      <c r="D35" s="8">
        <v>0</v>
      </c>
      <c r="E35" s="17"/>
      <c r="F35" s="7">
        <v>0</v>
      </c>
      <c r="G35" s="17"/>
      <c r="H35" s="17"/>
      <c r="I35" s="17"/>
      <c r="J35" s="17"/>
      <c r="K35" s="17"/>
      <c r="L35" s="17"/>
      <c r="M35" s="17"/>
      <c r="N35" s="17"/>
      <c r="O35" s="18"/>
    </row>
    <row r="36" spans="1:15" ht="13.5" thickBot="1">
      <c r="A36" s="16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8"/>
    </row>
    <row r="37" spans="1:15" ht="13.5" thickBot="1">
      <c r="A37" s="19" t="s">
        <v>159</v>
      </c>
      <c r="B37" s="17"/>
      <c r="C37" s="17"/>
      <c r="D37" s="7">
        <f>SUM(F26:F35)</f>
        <v>196.74</v>
      </c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8"/>
    </row>
    <row r="38" spans="1:15" ht="13.5" thickBot="1">
      <c r="A38" s="1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8"/>
    </row>
    <row r="39" spans="1:15" ht="13.5" thickBot="1">
      <c r="A39" s="19" t="s">
        <v>151</v>
      </c>
      <c r="B39" s="7">
        <f>D20+D37</f>
        <v>344.13</v>
      </c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8"/>
    </row>
    <row r="40" spans="1:15" ht="4.5" customHeight="1" thickBo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9"/>
    </row>
  </sheetData>
  <customSheetViews>
    <customSheetView guid="{ED5E4BD8-70AD-414F-AD0F-BD75B337D161}" showGridLines="0" topLeftCell="A16">
      <selection activeCell="R35" sqref="R35"/>
      <pageMargins left="0.511811024" right="0.511811024" top="0.78740157499999996" bottom="0.78740157499999996" header="0.31496062000000002" footer="0.31496062000000002"/>
    </customSheetView>
  </customSheetViews>
  <mergeCells count="1">
    <mergeCell ref="A1:O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cro4">
                <anchor moveWithCells="1" siz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cro5">
                <anchor moveWithCells="1" sizeWithCells="1">
                  <from>
                    <xdr:col>1</xdr:col>
                    <xdr:colOff>38100</xdr:colOff>
                    <xdr:row>35</xdr:row>
                    <xdr:rowOff>152400</xdr:rowOff>
                  </from>
                  <to>
                    <xdr:col>1</xdr:col>
                    <xdr:colOff>638175</xdr:colOff>
                    <xdr:row>36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H20"/>
  <sheetViews>
    <sheetView showGridLines="0" tabSelected="1" workbookViewId="0">
      <selection sqref="A1:D1"/>
    </sheetView>
  </sheetViews>
  <sheetFormatPr defaultColWidth="8.85546875" defaultRowHeight="12.75"/>
  <cols>
    <col min="1" max="1" width="43.85546875" customWidth="1"/>
    <col min="2" max="2" width="14" customWidth="1"/>
    <col min="3" max="3" width="11.28515625" customWidth="1"/>
    <col min="4" max="4" width="19.42578125" customWidth="1"/>
    <col min="8" max="8" width="2.7109375" customWidth="1"/>
  </cols>
  <sheetData>
    <row r="1" spans="1:8" ht="15.75">
      <c r="A1" s="86" t="s">
        <v>68</v>
      </c>
      <c r="B1" s="87"/>
      <c r="C1" s="87"/>
      <c r="D1" s="88"/>
      <c r="E1" s="52"/>
      <c r="F1" s="52"/>
      <c r="G1" s="52"/>
      <c r="H1" s="52"/>
    </row>
    <row r="2" spans="1:8" ht="0.75" customHeight="1">
      <c r="A2" s="58"/>
      <c r="D2" s="57"/>
    </row>
    <row r="3" spans="1:8">
      <c r="A3" s="19" t="s">
        <v>10</v>
      </c>
      <c r="B3" s="17"/>
      <c r="C3" s="17"/>
      <c r="D3" s="18"/>
    </row>
    <row r="4" spans="1:8" ht="13.5" thickBot="1">
      <c r="A4" s="30" t="s">
        <v>55</v>
      </c>
      <c r="B4" s="17"/>
      <c r="C4" s="17"/>
      <c r="D4" s="18"/>
    </row>
    <row r="5" spans="1:8" ht="13.5" thickBot="1">
      <c r="A5" s="16" t="s">
        <v>69</v>
      </c>
      <c r="B5" s="5">
        <v>415.73</v>
      </c>
      <c r="C5" s="17"/>
      <c r="D5" s="18"/>
    </row>
    <row r="6" spans="1:8" ht="13.5" thickBot="1">
      <c r="A6" s="16"/>
      <c r="B6" s="17"/>
      <c r="C6" s="17"/>
      <c r="D6" s="18"/>
    </row>
    <row r="7" spans="1:8" ht="13.5" thickBot="1">
      <c r="A7" s="16" t="s">
        <v>70</v>
      </c>
      <c r="B7" s="3">
        <v>39000</v>
      </c>
      <c r="C7" s="17"/>
      <c r="D7" s="18"/>
    </row>
    <row r="8" spans="1:8" ht="13.5" thickBot="1">
      <c r="A8" s="16"/>
      <c r="B8" s="17"/>
      <c r="C8" s="17"/>
      <c r="D8" s="18"/>
    </row>
    <row r="9" spans="1:8" ht="13.5" thickBot="1">
      <c r="A9" s="16" t="s">
        <v>78</v>
      </c>
      <c r="B9" s="3"/>
      <c r="C9" s="17"/>
      <c r="D9" s="18"/>
    </row>
    <row r="10" spans="1:8" ht="13.5" thickBot="1">
      <c r="A10" s="16"/>
      <c r="B10" s="17"/>
      <c r="C10" s="17"/>
      <c r="D10" s="18"/>
    </row>
    <row r="11" spans="1:8" ht="13.5" thickBot="1">
      <c r="A11" s="19" t="s">
        <v>73</v>
      </c>
      <c r="B11" s="65">
        <f>Software!F23</f>
        <v>25600</v>
      </c>
      <c r="C11" s="17"/>
      <c r="D11" s="18"/>
    </row>
    <row r="12" spans="1:8" ht="13.5" thickBot="1">
      <c r="A12" s="16"/>
      <c r="B12" s="17"/>
      <c r="C12" s="17"/>
      <c r="D12" s="18"/>
    </row>
    <row r="13" spans="1:8" ht="13.5" thickBot="1">
      <c r="A13" s="19" t="s">
        <v>74</v>
      </c>
      <c r="B13" s="7">
        <f>Hardware!B35</f>
        <v>97540</v>
      </c>
      <c r="C13" s="17"/>
      <c r="D13" s="18"/>
    </row>
    <row r="14" spans="1:8" ht="13.5" thickBot="1">
      <c r="A14" s="16"/>
      <c r="B14" s="17"/>
      <c r="C14" s="17"/>
      <c r="D14" s="18"/>
    </row>
    <row r="15" spans="1:8" ht="13.5" thickBot="1">
      <c r="A15" s="19" t="s">
        <v>77</v>
      </c>
      <c r="B15" s="7">
        <f>B11+B13</f>
        <v>123140</v>
      </c>
      <c r="C15" s="17"/>
      <c r="D15" s="18"/>
    </row>
    <row r="16" spans="1:8" ht="13.5" thickBot="1">
      <c r="A16" s="16"/>
      <c r="B16" s="17"/>
      <c r="C16" s="17"/>
      <c r="D16" s="18"/>
    </row>
    <row r="17" spans="1:4" ht="13.5" thickBot="1">
      <c r="A17" s="19" t="s">
        <v>151</v>
      </c>
      <c r="B17" s="7">
        <f>Componentes!B39</f>
        <v>344.13</v>
      </c>
      <c r="C17" s="17"/>
      <c r="D17" s="18"/>
    </row>
    <row r="18" spans="1:4" ht="13.5" thickBot="1">
      <c r="A18" s="16"/>
      <c r="B18" s="17"/>
      <c r="C18" s="17"/>
      <c r="D18" s="18"/>
    </row>
    <row r="19" spans="1:4" ht="13.5" thickBot="1">
      <c r="A19" s="19" t="s">
        <v>72</v>
      </c>
      <c r="B19" s="17"/>
      <c r="C19" s="7">
        <v>344.13</v>
      </c>
      <c r="D19" s="18"/>
    </row>
    <row r="20" spans="1:4" ht="13.5" thickBot="1">
      <c r="A20" s="27"/>
      <c r="B20" s="28"/>
      <c r="C20" s="28"/>
      <c r="D20" s="29"/>
    </row>
  </sheetData>
  <customSheetViews>
    <customSheetView guid="{ED5E4BD8-70AD-414F-AD0F-BD75B337D161}" showGridLines="0">
      <selection activeCell="D39" sqref="D39"/>
      <pageMargins left="0.511811024" right="0.511811024" top="0.78740157499999996" bottom="0.78740157499999996" header="0.31496062000000002" footer="0.31496062000000002"/>
    </customSheetView>
  </customSheetViews>
  <mergeCells count="1">
    <mergeCell ref="A1:D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acro6">
                <anchor moveWithCells="1" sizeWithCells="1">
                  <from>
                    <xdr:col>1</xdr:col>
                    <xdr:colOff>0</xdr:colOff>
                    <xdr:row>17</xdr:row>
                    <xdr:rowOff>161925</xdr:rowOff>
                  </from>
                  <to>
                    <xdr:col>1</xdr:col>
                    <xdr:colOff>723900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F58"/>
  <sheetViews>
    <sheetView topLeftCell="A3" workbookViewId="0">
      <selection activeCell="B5" sqref="B5"/>
    </sheetView>
  </sheetViews>
  <sheetFormatPr defaultColWidth="9.140625" defaultRowHeight="12.75"/>
  <cols>
    <col min="1" max="1" width="29.85546875" customWidth="1"/>
    <col min="2" max="2" width="25" customWidth="1"/>
    <col min="3" max="3" width="25.28515625" customWidth="1"/>
    <col min="4" max="4" width="1.140625" customWidth="1"/>
    <col min="5" max="5" width="45.7109375" customWidth="1"/>
    <col min="6" max="6" width="0.85546875" customWidth="1"/>
    <col min="7" max="7" width="38.42578125" customWidth="1"/>
    <col min="12" max="12" width="22.28515625" customWidth="1"/>
    <col min="13" max="13" width="18.28515625" customWidth="1"/>
    <col min="14" max="14" width="16.42578125" customWidth="1"/>
    <col min="15" max="15" width="16.7109375" customWidth="1"/>
    <col min="16" max="16" width="19.42578125" customWidth="1"/>
  </cols>
  <sheetData>
    <row r="1" spans="1:6" ht="15.75">
      <c r="A1" s="86" t="s">
        <v>109</v>
      </c>
      <c r="B1" s="87"/>
      <c r="C1" s="87"/>
      <c r="D1" s="87"/>
      <c r="E1" s="87"/>
      <c r="F1" s="88"/>
    </row>
    <row r="2" spans="1:6" ht="13.5" thickBot="1">
      <c r="A2" s="30" t="s">
        <v>55</v>
      </c>
      <c r="B2" s="17"/>
      <c r="C2" s="17"/>
      <c r="D2" s="17"/>
      <c r="E2" s="17"/>
      <c r="F2" s="18"/>
    </row>
    <row r="3" spans="1:6" ht="13.5" thickBot="1">
      <c r="A3" s="19" t="s">
        <v>108</v>
      </c>
      <c r="B3" s="8">
        <f>Resumo!B9</f>
        <v>344.13</v>
      </c>
      <c r="C3" s="17"/>
      <c r="D3" s="17"/>
      <c r="E3" s="17"/>
      <c r="F3" s="18"/>
    </row>
    <row r="4" spans="1:6" ht="13.5" thickBot="1">
      <c r="A4" s="19" t="s">
        <v>112</v>
      </c>
      <c r="B4" s="2">
        <v>0</v>
      </c>
      <c r="C4" s="17"/>
      <c r="D4" s="17"/>
      <c r="E4" s="17"/>
      <c r="F4" s="18"/>
    </row>
    <row r="5" spans="1:6" ht="13.5" thickBot="1">
      <c r="A5" s="19" t="s">
        <v>113</v>
      </c>
      <c r="B5" s="8">
        <f>Resumo!B11*2.05</f>
        <v>705.46649999999988</v>
      </c>
      <c r="C5" s="17"/>
      <c r="D5" s="17"/>
      <c r="E5" s="17"/>
      <c r="F5" s="18"/>
    </row>
    <row r="6" spans="1:6" ht="13.5" thickBot="1">
      <c r="A6" s="16"/>
      <c r="B6" s="17"/>
      <c r="C6" s="17"/>
      <c r="D6" s="17"/>
      <c r="E6" s="17"/>
      <c r="F6" s="18"/>
    </row>
    <row r="7" spans="1:6">
      <c r="A7" s="68" t="s">
        <v>114</v>
      </c>
      <c r="B7" s="69" t="s">
        <v>115</v>
      </c>
      <c r="C7" s="69" t="s">
        <v>116</v>
      </c>
      <c r="D7" s="17"/>
      <c r="E7" s="70" t="s">
        <v>117</v>
      </c>
      <c r="F7" s="71"/>
    </row>
    <row r="8" spans="1:6">
      <c r="A8" s="16">
        <v>1</v>
      </c>
      <c r="B8" s="72">
        <f>B5</f>
        <v>705.46649999999988</v>
      </c>
      <c r="C8" s="72">
        <f>B3</f>
        <v>344.13</v>
      </c>
      <c r="D8" s="17"/>
      <c r="E8" s="73" t="s">
        <v>118</v>
      </c>
      <c r="F8" s="74"/>
    </row>
    <row r="9" spans="1:6">
      <c r="A9" s="16">
        <v>2</v>
      </c>
      <c r="B9" s="72">
        <f>$B$5*A9^$B$4</f>
        <v>705.46649999999988</v>
      </c>
      <c r="C9" s="72">
        <f t="shared" ref="C9:C57" si="0">$B$3*A9^$B$4</f>
        <v>344.13</v>
      </c>
      <c r="D9" s="40"/>
      <c r="E9" s="75" t="s">
        <v>119</v>
      </c>
      <c r="F9" s="18"/>
    </row>
    <row r="10" spans="1:6">
      <c r="A10" s="16">
        <v>3</v>
      </c>
      <c r="B10" s="72">
        <f t="shared" ref="B10:B57" si="1">$B$5*A10^$B$4</f>
        <v>705.46649999999988</v>
      </c>
      <c r="C10" s="72">
        <f t="shared" si="0"/>
        <v>344.13</v>
      </c>
      <c r="D10" s="40"/>
      <c r="E10" s="75" t="s">
        <v>120</v>
      </c>
      <c r="F10" s="18"/>
    </row>
    <row r="11" spans="1:6">
      <c r="A11" s="16">
        <v>4</v>
      </c>
      <c r="B11" s="72">
        <f t="shared" si="1"/>
        <v>705.46649999999988</v>
      </c>
      <c r="C11" s="72">
        <f t="shared" si="0"/>
        <v>344.13</v>
      </c>
      <c r="D11" s="40"/>
      <c r="E11" s="75" t="s">
        <v>121</v>
      </c>
      <c r="F11" s="18"/>
    </row>
    <row r="12" spans="1:6">
      <c r="A12" s="16">
        <v>5</v>
      </c>
      <c r="B12" s="72">
        <f t="shared" si="1"/>
        <v>705.46649999999988</v>
      </c>
      <c r="C12" s="72">
        <f t="shared" si="0"/>
        <v>344.13</v>
      </c>
      <c r="D12" s="40"/>
      <c r="E12" s="75"/>
      <c r="F12" s="18"/>
    </row>
    <row r="13" spans="1:6">
      <c r="A13" s="16">
        <v>6</v>
      </c>
      <c r="B13" s="72">
        <f t="shared" si="1"/>
        <v>705.46649999999988</v>
      </c>
      <c r="C13" s="72">
        <f t="shared" si="0"/>
        <v>344.13</v>
      </c>
      <c r="D13" s="40"/>
      <c r="E13" s="75"/>
      <c r="F13" s="18"/>
    </row>
    <row r="14" spans="1:6">
      <c r="A14" s="16">
        <v>7</v>
      </c>
      <c r="B14" s="72">
        <f t="shared" si="1"/>
        <v>705.46649999999988</v>
      </c>
      <c r="C14" s="72">
        <f t="shared" si="0"/>
        <v>344.13</v>
      </c>
      <c r="D14" s="40"/>
      <c r="E14" s="75" t="s">
        <v>122</v>
      </c>
      <c r="F14" s="18"/>
    </row>
    <row r="15" spans="1:6">
      <c r="A15" s="16">
        <v>8</v>
      </c>
      <c r="B15" s="72">
        <f t="shared" si="1"/>
        <v>705.46649999999988</v>
      </c>
      <c r="C15" s="72">
        <f t="shared" si="0"/>
        <v>344.13</v>
      </c>
      <c r="D15" s="40"/>
      <c r="E15" s="75" t="s">
        <v>123</v>
      </c>
      <c r="F15" s="18"/>
    </row>
    <row r="16" spans="1:6">
      <c r="A16" s="16">
        <v>9</v>
      </c>
      <c r="B16" s="72">
        <f t="shared" si="1"/>
        <v>705.46649999999988</v>
      </c>
      <c r="C16" s="72">
        <f t="shared" si="0"/>
        <v>344.13</v>
      </c>
      <c r="D16" s="40"/>
      <c r="E16" s="75" t="s">
        <v>152</v>
      </c>
      <c r="F16" s="18"/>
    </row>
    <row r="17" spans="1:6">
      <c r="A17" s="16">
        <v>10</v>
      </c>
      <c r="B17" s="72">
        <f t="shared" si="1"/>
        <v>705.46649999999988</v>
      </c>
      <c r="C17" s="72">
        <f t="shared" si="0"/>
        <v>344.13</v>
      </c>
      <c r="D17" s="40"/>
      <c r="E17" s="75" t="s">
        <v>153</v>
      </c>
      <c r="F17" s="18"/>
    </row>
    <row r="18" spans="1:6">
      <c r="A18" s="16">
        <v>11</v>
      </c>
      <c r="B18" s="72">
        <f t="shared" si="1"/>
        <v>705.46649999999988</v>
      </c>
      <c r="C18" s="72">
        <f t="shared" si="0"/>
        <v>344.13</v>
      </c>
      <c r="D18" s="40"/>
      <c r="E18" s="75" t="s">
        <v>154</v>
      </c>
      <c r="F18" s="18"/>
    </row>
    <row r="19" spans="1:6">
      <c r="A19" s="16">
        <v>12</v>
      </c>
      <c r="B19" s="72">
        <f t="shared" si="1"/>
        <v>705.46649999999988</v>
      </c>
      <c r="C19" s="72">
        <f t="shared" si="0"/>
        <v>344.13</v>
      </c>
      <c r="D19" s="40"/>
      <c r="E19" s="75" t="s">
        <v>155</v>
      </c>
      <c r="F19" s="18"/>
    </row>
    <row r="20" spans="1:6">
      <c r="A20" s="16">
        <v>13</v>
      </c>
      <c r="B20" s="72">
        <f t="shared" si="1"/>
        <v>705.46649999999988</v>
      </c>
      <c r="C20" s="72">
        <f t="shared" si="0"/>
        <v>344.13</v>
      </c>
      <c r="D20" s="40"/>
      <c r="E20" s="75" t="s">
        <v>156</v>
      </c>
      <c r="F20" s="18"/>
    </row>
    <row r="21" spans="1:6">
      <c r="A21" s="16">
        <v>14</v>
      </c>
      <c r="B21" s="72">
        <f t="shared" si="1"/>
        <v>705.46649999999988</v>
      </c>
      <c r="C21" s="72">
        <f t="shared" si="0"/>
        <v>344.13</v>
      </c>
      <c r="D21" s="40"/>
      <c r="E21" s="75" t="s">
        <v>124</v>
      </c>
      <c r="F21" s="18"/>
    </row>
    <row r="22" spans="1:6">
      <c r="A22" s="16">
        <v>15</v>
      </c>
      <c r="B22" s="72">
        <f t="shared" si="1"/>
        <v>705.46649999999988</v>
      </c>
      <c r="C22" s="72">
        <f t="shared" si="0"/>
        <v>344.13</v>
      </c>
      <c r="D22" s="40"/>
      <c r="E22" s="75" t="s">
        <v>125</v>
      </c>
      <c r="F22" s="18"/>
    </row>
    <row r="23" spans="1:6">
      <c r="A23" s="16">
        <v>16</v>
      </c>
      <c r="B23" s="72">
        <f t="shared" si="1"/>
        <v>705.46649999999988</v>
      </c>
      <c r="C23" s="72">
        <f t="shared" si="0"/>
        <v>344.13</v>
      </c>
      <c r="D23" s="40"/>
      <c r="E23" s="75" t="s">
        <v>126</v>
      </c>
      <c r="F23" s="18"/>
    </row>
    <row r="24" spans="1:6" ht="13.5" thickBot="1">
      <c r="A24" s="16">
        <v>17</v>
      </c>
      <c r="B24" s="72">
        <f t="shared" si="1"/>
        <v>705.46649999999988</v>
      </c>
      <c r="C24" s="72">
        <f t="shared" si="0"/>
        <v>344.13</v>
      </c>
      <c r="D24" s="40"/>
      <c r="E24" s="76" t="s">
        <v>157</v>
      </c>
      <c r="F24" s="18"/>
    </row>
    <row r="25" spans="1:6">
      <c r="A25" s="16">
        <v>18</v>
      </c>
      <c r="B25" s="72">
        <f t="shared" si="1"/>
        <v>705.46649999999988</v>
      </c>
      <c r="C25" s="72">
        <f t="shared" si="0"/>
        <v>344.13</v>
      </c>
      <c r="D25" s="40"/>
      <c r="E25" s="25"/>
      <c r="F25" s="18"/>
    </row>
    <row r="26" spans="1:6">
      <c r="A26" s="16">
        <v>19</v>
      </c>
      <c r="B26" s="72">
        <f t="shared" si="1"/>
        <v>705.46649999999988</v>
      </c>
      <c r="C26" s="72">
        <f t="shared" si="0"/>
        <v>344.13</v>
      </c>
      <c r="D26" s="40"/>
      <c r="E26" s="25"/>
      <c r="F26" s="18"/>
    </row>
    <row r="27" spans="1:6">
      <c r="A27" s="16">
        <v>20</v>
      </c>
      <c r="B27" s="72">
        <f t="shared" si="1"/>
        <v>705.46649999999988</v>
      </c>
      <c r="C27" s="72">
        <f t="shared" si="0"/>
        <v>344.13</v>
      </c>
      <c r="D27" s="40"/>
      <c r="E27" s="17"/>
      <c r="F27" s="18"/>
    </row>
    <row r="28" spans="1:6">
      <c r="A28" s="16">
        <v>21</v>
      </c>
      <c r="B28" s="72">
        <f t="shared" si="1"/>
        <v>705.46649999999988</v>
      </c>
      <c r="C28" s="72">
        <f t="shared" si="0"/>
        <v>344.13</v>
      </c>
      <c r="D28" s="40"/>
      <c r="E28" s="17"/>
      <c r="F28" s="18"/>
    </row>
    <row r="29" spans="1:6">
      <c r="A29" s="16">
        <v>22</v>
      </c>
      <c r="B29" s="72">
        <f t="shared" si="1"/>
        <v>705.46649999999988</v>
      </c>
      <c r="C29" s="72">
        <f t="shared" si="0"/>
        <v>344.13</v>
      </c>
      <c r="D29" s="40"/>
      <c r="E29" s="17"/>
      <c r="F29" s="18"/>
    </row>
    <row r="30" spans="1:6">
      <c r="A30" s="16">
        <v>23</v>
      </c>
      <c r="B30" s="72">
        <f t="shared" si="1"/>
        <v>705.46649999999988</v>
      </c>
      <c r="C30" s="72">
        <f t="shared" si="0"/>
        <v>344.13</v>
      </c>
      <c r="D30" s="40"/>
      <c r="E30" s="17"/>
      <c r="F30" s="18"/>
    </row>
    <row r="31" spans="1:6">
      <c r="A31" s="16">
        <v>24</v>
      </c>
      <c r="B31" s="72">
        <f t="shared" si="1"/>
        <v>705.46649999999988</v>
      </c>
      <c r="C31" s="72">
        <f t="shared" si="0"/>
        <v>344.13</v>
      </c>
      <c r="D31" s="40"/>
      <c r="E31" s="17"/>
      <c r="F31" s="18"/>
    </row>
    <row r="32" spans="1:6">
      <c r="A32" s="16">
        <v>25</v>
      </c>
      <c r="B32" s="72">
        <f t="shared" si="1"/>
        <v>705.46649999999988</v>
      </c>
      <c r="C32" s="72">
        <f t="shared" si="0"/>
        <v>344.13</v>
      </c>
      <c r="D32" s="40"/>
      <c r="E32" s="17"/>
      <c r="F32" s="18"/>
    </row>
    <row r="33" spans="1:6">
      <c r="A33" s="16">
        <v>26</v>
      </c>
      <c r="B33" s="72">
        <f t="shared" si="1"/>
        <v>705.46649999999988</v>
      </c>
      <c r="C33" s="72">
        <f t="shared" si="0"/>
        <v>344.13</v>
      </c>
      <c r="D33" s="40"/>
      <c r="E33" s="17"/>
      <c r="F33" s="18"/>
    </row>
    <row r="34" spans="1:6">
      <c r="A34" s="16">
        <v>27</v>
      </c>
      <c r="B34" s="72">
        <f t="shared" si="1"/>
        <v>705.46649999999988</v>
      </c>
      <c r="C34" s="72">
        <f t="shared" si="0"/>
        <v>344.13</v>
      </c>
      <c r="D34" s="40"/>
      <c r="E34" s="17"/>
      <c r="F34" s="18"/>
    </row>
    <row r="35" spans="1:6">
      <c r="A35" s="16">
        <v>28</v>
      </c>
      <c r="B35" s="72">
        <f t="shared" si="1"/>
        <v>705.46649999999988</v>
      </c>
      <c r="C35" s="72">
        <f t="shared" si="0"/>
        <v>344.13</v>
      </c>
      <c r="D35" s="40"/>
      <c r="E35" s="17"/>
      <c r="F35" s="18"/>
    </row>
    <row r="36" spans="1:6">
      <c r="A36" s="16">
        <v>29</v>
      </c>
      <c r="B36" s="72">
        <f t="shared" si="1"/>
        <v>705.46649999999988</v>
      </c>
      <c r="C36" s="72">
        <f t="shared" si="0"/>
        <v>344.13</v>
      </c>
      <c r="D36" s="40"/>
      <c r="E36" s="17"/>
      <c r="F36" s="18"/>
    </row>
    <row r="37" spans="1:6">
      <c r="A37" s="16">
        <v>30</v>
      </c>
      <c r="B37" s="72">
        <f t="shared" si="1"/>
        <v>705.46649999999988</v>
      </c>
      <c r="C37" s="72">
        <f t="shared" si="0"/>
        <v>344.13</v>
      </c>
      <c r="D37" s="40"/>
      <c r="E37" s="17"/>
      <c r="F37" s="18"/>
    </row>
    <row r="38" spans="1:6">
      <c r="A38" s="16">
        <v>31</v>
      </c>
      <c r="B38" s="72">
        <f t="shared" si="1"/>
        <v>705.46649999999988</v>
      </c>
      <c r="C38" s="72">
        <f t="shared" si="0"/>
        <v>344.13</v>
      </c>
      <c r="D38" s="40"/>
      <c r="E38" s="17"/>
      <c r="F38" s="18"/>
    </row>
    <row r="39" spans="1:6">
      <c r="A39" s="16">
        <v>32</v>
      </c>
      <c r="B39" s="72">
        <f t="shared" si="1"/>
        <v>705.46649999999988</v>
      </c>
      <c r="C39" s="72">
        <f t="shared" si="0"/>
        <v>344.13</v>
      </c>
      <c r="D39" s="40"/>
      <c r="E39" s="17"/>
      <c r="F39" s="18"/>
    </row>
    <row r="40" spans="1:6">
      <c r="A40" s="16">
        <v>33</v>
      </c>
      <c r="B40" s="72">
        <f t="shared" si="1"/>
        <v>705.46649999999988</v>
      </c>
      <c r="C40" s="72">
        <f t="shared" si="0"/>
        <v>344.13</v>
      </c>
      <c r="D40" s="40"/>
      <c r="E40" s="17"/>
      <c r="F40" s="18"/>
    </row>
    <row r="41" spans="1:6">
      <c r="A41" s="16">
        <v>34</v>
      </c>
      <c r="B41" s="72">
        <f t="shared" si="1"/>
        <v>705.46649999999988</v>
      </c>
      <c r="C41" s="72">
        <f t="shared" si="0"/>
        <v>344.13</v>
      </c>
      <c r="D41" s="40"/>
      <c r="E41" s="17"/>
      <c r="F41" s="18"/>
    </row>
    <row r="42" spans="1:6">
      <c r="A42" s="16">
        <v>35</v>
      </c>
      <c r="B42" s="72">
        <f t="shared" si="1"/>
        <v>705.46649999999988</v>
      </c>
      <c r="C42" s="72">
        <f t="shared" si="0"/>
        <v>344.13</v>
      </c>
      <c r="D42" s="40"/>
      <c r="E42" s="17"/>
      <c r="F42" s="18"/>
    </row>
    <row r="43" spans="1:6">
      <c r="A43" s="16">
        <v>36</v>
      </c>
      <c r="B43" s="72">
        <f t="shared" si="1"/>
        <v>705.46649999999988</v>
      </c>
      <c r="C43" s="72">
        <f t="shared" si="0"/>
        <v>344.13</v>
      </c>
      <c r="D43" s="40"/>
      <c r="E43" s="17"/>
      <c r="F43" s="18"/>
    </row>
    <row r="44" spans="1:6">
      <c r="A44" s="16">
        <v>37</v>
      </c>
      <c r="B44" s="72">
        <f t="shared" si="1"/>
        <v>705.46649999999988</v>
      </c>
      <c r="C44" s="72">
        <f t="shared" si="0"/>
        <v>344.13</v>
      </c>
      <c r="D44" s="40"/>
      <c r="E44" s="17"/>
      <c r="F44" s="18"/>
    </row>
    <row r="45" spans="1:6">
      <c r="A45" s="16">
        <v>38</v>
      </c>
      <c r="B45" s="72">
        <f t="shared" si="1"/>
        <v>705.46649999999988</v>
      </c>
      <c r="C45" s="72">
        <f t="shared" si="0"/>
        <v>344.13</v>
      </c>
      <c r="D45" s="40"/>
      <c r="E45" s="17"/>
      <c r="F45" s="18"/>
    </row>
    <row r="46" spans="1:6">
      <c r="A46" s="16">
        <v>39</v>
      </c>
      <c r="B46" s="72">
        <f t="shared" si="1"/>
        <v>705.46649999999988</v>
      </c>
      <c r="C46" s="72">
        <f t="shared" si="0"/>
        <v>344.13</v>
      </c>
      <c r="D46" s="40"/>
      <c r="E46" s="17"/>
      <c r="F46" s="18"/>
    </row>
    <row r="47" spans="1:6">
      <c r="A47" s="16">
        <v>40</v>
      </c>
      <c r="B47" s="72">
        <f t="shared" si="1"/>
        <v>705.46649999999988</v>
      </c>
      <c r="C47" s="72">
        <f t="shared" si="0"/>
        <v>344.13</v>
      </c>
      <c r="D47" s="40"/>
      <c r="E47" s="17"/>
      <c r="F47" s="18"/>
    </row>
    <row r="48" spans="1:6">
      <c r="A48" s="16">
        <v>41</v>
      </c>
      <c r="B48" s="72">
        <f t="shared" si="1"/>
        <v>705.46649999999988</v>
      </c>
      <c r="C48" s="72">
        <f t="shared" si="0"/>
        <v>344.13</v>
      </c>
      <c r="D48" s="40"/>
      <c r="E48" s="17"/>
      <c r="F48" s="18"/>
    </row>
    <row r="49" spans="1:6">
      <c r="A49" s="16">
        <v>42</v>
      </c>
      <c r="B49" s="72">
        <f t="shared" si="1"/>
        <v>705.46649999999988</v>
      </c>
      <c r="C49" s="72">
        <f t="shared" si="0"/>
        <v>344.13</v>
      </c>
      <c r="D49" s="40"/>
      <c r="E49" s="17"/>
      <c r="F49" s="18"/>
    </row>
    <row r="50" spans="1:6">
      <c r="A50" s="16">
        <v>43</v>
      </c>
      <c r="B50" s="72">
        <f t="shared" si="1"/>
        <v>705.46649999999988</v>
      </c>
      <c r="C50" s="72">
        <f t="shared" si="0"/>
        <v>344.13</v>
      </c>
      <c r="D50" s="40"/>
      <c r="E50" s="17"/>
      <c r="F50" s="18"/>
    </row>
    <row r="51" spans="1:6">
      <c r="A51" s="16">
        <v>44</v>
      </c>
      <c r="B51" s="72">
        <f t="shared" si="1"/>
        <v>705.46649999999988</v>
      </c>
      <c r="C51" s="72">
        <f t="shared" si="0"/>
        <v>344.13</v>
      </c>
      <c r="D51" s="40"/>
      <c r="E51" s="17"/>
      <c r="F51" s="18"/>
    </row>
    <row r="52" spans="1:6">
      <c r="A52" s="16">
        <v>45</v>
      </c>
      <c r="B52" s="72">
        <f t="shared" si="1"/>
        <v>705.46649999999988</v>
      </c>
      <c r="C52" s="72">
        <f t="shared" si="0"/>
        <v>344.13</v>
      </c>
      <c r="D52" s="40"/>
      <c r="E52" s="17"/>
      <c r="F52" s="18"/>
    </row>
    <row r="53" spans="1:6">
      <c r="A53" s="16">
        <v>46</v>
      </c>
      <c r="B53" s="72">
        <f t="shared" si="1"/>
        <v>705.46649999999988</v>
      </c>
      <c r="C53" s="72">
        <f t="shared" si="0"/>
        <v>344.13</v>
      </c>
      <c r="D53" s="40"/>
      <c r="E53" s="17"/>
      <c r="F53" s="18"/>
    </row>
    <row r="54" spans="1:6">
      <c r="A54" s="16">
        <v>47</v>
      </c>
      <c r="B54" s="72">
        <f t="shared" si="1"/>
        <v>705.46649999999988</v>
      </c>
      <c r="C54" s="72">
        <f t="shared" si="0"/>
        <v>344.13</v>
      </c>
      <c r="D54" s="40"/>
      <c r="E54" s="17"/>
      <c r="F54" s="18"/>
    </row>
    <row r="55" spans="1:6">
      <c r="A55" s="16">
        <v>48</v>
      </c>
      <c r="B55" s="72">
        <f t="shared" si="1"/>
        <v>705.46649999999988</v>
      </c>
      <c r="C55" s="72">
        <f t="shared" si="0"/>
        <v>344.13</v>
      </c>
      <c r="D55" s="40"/>
      <c r="E55" s="17"/>
      <c r="F55" s="18"/>
    </row>
    <row r="56" spans="1:6">
      <c r="A56" s="16">
        <v>49</v>
      </c>
      <c r="B56" s="72">
        <f t="shared" si="1"/>
        <v>705.46649999999988</v>
      </c>
      <c r="C56" s="72">
        <f t="shared" si="0"/>
        <v>344.13</v>
      </c>
      <c r="D56" s="40"/>
      <c r="E56" s="17"/>
      <c r="F56" s="18"/>
    </row>
    <row r="57" spans="1:6">
      <c r="A57" s="16">
        <v>50</v>
      </c>
      <c r="B57" s="72">
        <f t="shared" si="1"/>
        <v>705.46649999999988</v>
      </c>
      <c r="C57" s="72">
        <f t="shared" si="0"/>
        <v>344.13</v>
      </c>
      <c r="D57" s="40"/>
      <c r="E57" s="17"/>
      <c r="F57" s="18"/>
    </row>
    <row r="58" spans="1:6" ht="13.5" thickBot="1">
      <c r="A58" s="28"/>
      <c r="B58" s="28"/>
      <c r="C58" s="28"/>
      <c r="D58" s="28"/>
      <c r="E58" s="28"/>
      <c r="F58" s="29"/>
    </row>
  </sheetData>
  <customSheetViews>
    <customSheetView guid="{ED5E4BD8-70AD-414F-AD0F-BD75B337D161}">
      <selection activeCell="G5" sqref="G5"/>
      <pageMargins left="0.511811024" right="0.511811024" top="0.78740157499999996" bottom="0.78740157499999996" header="0.31496062000000002" footer="0.31496062000000002"/>
    </customSheetView>
  </customSheetViews>
  <mergeCells count="1">
    <mergeCell ref="A1:F1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N32"/>
  <sheetViews>
    <sheetView showGridLines="0" workbookViewId="0">
      <selection activeCell="F10" sqref="F10"/>
    </sheetView>
  </sheetViews>
  <sheetFormatPr defaultColWidth="8.85546875" defaultRowHeight="12.75"/>
  <cols>
    <col min="1" max="1" width="38.42578125" customWidth="1"/>
    <col min="2" max="2" width="30.85546875" customWidth="1"/>
    <col min="3" max="3" width="5.42578125" customWidth="1"/>
    <col min="4" max="4" width="2" customWidth="1"/>
    <col min="5" max="5" width="10" customWidth="1"/>
    <col min="6" max="7" width="17.7109375" customWidth="1"/>
    <col min="8" max="8" width="1.28515625" customWidth="1"/>
    <col min="9" max="9" width="12" customWidth="1"/>
    <col min="10" max="12" width="13.7109375" customWidth="1"/>
    <col min="13" max="13" width="2.42578125" customWidth="1"/>
    <col min="14" max="14" width="1.140625" customWidth="1"/>
  </cols>
  <sheetData>
    <row r="1" spans="1:14" ht="15.75">
      <c r="A1" s="86" t="s">
        <v>79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8"/>
    </row>
    <row r="2" spans="1:14" ht="13.5" thickBot="1">
      <c r="A2" s="30" t="s">
        <v>91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8"/>
    </row>
    <row r="3" spans="1:14" ht="13.5" thickBot="1">
      <c r="A3" s="19" t="s">
        <v>80</v>
      </c>
      <c r="B3" s="6">
        <f>NPV(F5,F8:F18)</f>
        <v>-102793.53089162684</v>
      </c>
      <c r="C3" s="44"/>
      <c r="D3" s="45"/>
      <c r="E3" s="22" t="s">
        <v>93</v>
      </c>
      <c r="F3" s="22"/>
      <c r="G3" s="22"/>
      <c r="H3" s="22"/>
      <c r="I3" s="22"/>
      <c r="J3" s="22"/>
      <c r="K3" s="22"/>
      <c r="L3" s="22"/>
      <c r="M3" s="23"/>
      <c r="N3" s="18"/>
    </row>
    <row r="4" spans="1:14" ht="13.5" thickBot="1">
      <c r="A4" s="16"/>
      <c r="B4" s="17"/>
      <c r="C4" s="17"/>
      <c r="D4" s="19"/>
      <c r="E4" s="17" t="s">
        <v>92</v>
      </c>
      <c r="F4" s="17"/>
      <c r="G4" s="17"/>
      <c r="H4" s="17"/>
      <c r="I4" s="17"/>
      <c r="J4" s="17"/>
      <c r="K4" s="17"/>
      <c r="L4" s="17"/>
      <c r="M4" s="18"/>
      <c r="N4" s="18"/>
    </row>
    <row r="5" spans="1:14" ht="27.75" customHeight="1" thickBot="1">
      <c r="A5" s="19" t="s">
        <v>88</v>
      </c>
      <c r="B5" s="9" t="str">
        <f>IF(OR(AND(G8&lt;0,G9&lt;0,G10&lt;0,G11&lt;0,G12&lt;0,G13&lt;0,G14&lt;0,G15&lt;0,G16&lt;0,G17&lt;0,G18&lt;0),AND(G8=0,G9=0,G10=0,G11=0,G12=0,G13=0,G14=0,G15=0,G16=0,G17=0,G18=0)),"Sem payback","O payback simples ocorre em "&amp;E20&amp;" ano(s) ou "&amp;INT(E20)&amp;" ano(s) e "&amp;ROUND((E20-INT(E20))*12,0)&amp;" mês(es)")</f>
        <v>Sem payback</v>
      </c>
      <c r="C5" s="46"/>
      <c r="D5" s="16"/>
      <c r="E5" s="47" t="s">
        <v>161</v>
      </c>
      <c r="F5" s="11">
        <v>0.08</v>
      </c>
      <c r="G5" s="17"/>
      <c r="H5" s="17"/>
      <c r="I5" s="26" t="s">
        <v>162</v>
      </c>
      <c r="J5" s="11">
        <v>0.1</v>
      </c>
      <c r="K5" s="17"/>
      <c r="L5" s="17"/>
      <c r="M5" s="18"/>
      <c r="N5" s="18"/>
    </row>
    <row r="6" spans="1:14" ht="15.75" thickBot="1">
      <c r="A6" s="16"/>
      <c r="B6" s="17"/>
      <c r="C6" s="17"/>
      <c r="D6" s="16"/>
      <c r="E6" s="97" t="s">
        <v>83</v>
      </c>
      <c r="F6" s="98"/>
      <c r="G6" s="99"/>
      <c r="H6" s="17"/>
      <c r="I6" s="97" t="s">
        <v>85</v>
      </c>
      <c r="J6" s="98"/>
      <c r="K6" s="98"/>
      <c r="L6" s="99"/>
      <c r="M6" s="18"/>
      <c r="N6" s="18"/>
    </row>
    <row r="7" spans="1:14" ht="28.5" customHeight="1" thickBot="1">
      <c r="A7" s="19" t="s">
        <v>89</v>
      </c>
      <c r="B7" s="9" t="str">
        <f>IF(OR(AND(L8&lt;0,L9&lt;0,L10&lt;0,L11&lt;0,L12&lt;0,L13&lt;0,L14&lt;0,L15&lt;0,L16&lt;0,L17&lt;0,L18&lt;0),AND(L8=0,L9=0,L10=0,L11=0,L12=0,L13=0,L14=0,L15=0,L16=0,L17=0,L18=0)),"Sem payback","O payback descontado ocorre em "&amp;I20&amp;" ano(s) ou "&amp;INT(I20)&amp;" ano(s) e "&amp;ROUND((I20-INT(I20))*12,0)&amp;" mês(es)")</f>
        <v>Sem payback</v>
      </c>
      <c r="C7" s="46"/>
      <c r="D7" s="16"/>
      <c r="E7" s="12" t="s">
        <v>82</v>
      </c>
      <c r="F7" s="12" t="s">
        <v>81</v>
      </c>
      <c r="G7" s="12" t="s">
        <v>84</v>
      </c>
      <c r="H7" s="17"/>
      <c r="I7" s="12" t="s">
        <v>82</v>
      </c>
      <c r="J7" s="12" t="s">
        <v>81</v>
      </c>
      <c r="K7" s="12" t="s">
        <v>86</v>
      </c>
      <c r="L7" s="12" t="s">
        <v>87</v>
      </c>
      <c r="M7" s="18"/>
      <c r="N7" s="18"/>
    </row>
    <row r="8" spans="1:14" ht="15.75" thickBot="1">
      <c r="A8" s="16"/>
      <c r="B8" s="17"/>
      <c r="C8" s="17"/>
      <c r="D8" s="16"/>
      <c r="E8" s="13">
        <v>0</v>
      </c>
      <c r="F8" s="14">
        <f>-'Custo Total'!$B$15</f>
        <v>-123140</v>
      </c>
      <c r="G8" s="48">
        <f>F8</f>
        <v>-123140</v>
      </c>
      <c r="H8" s="17"/>
      <c r="I8" s="13">
        <v>0</v>
      </c>
      <c r="J8" s="15">
        <f t="shared" ref="J8:J17" si="0">F8</f>
        <v>-123140</v>
      </c>
      <c r="K8" s="48">
        <f t="shared" ref="K8:K18" si="1">-PV($F$5,I8,,J8)</f>
        <v>-123140</v>
      </c>
      <c r="L8" s="48">
        <f>K8</f>
        <v>-123140</v>
      </c>
      <c r="M8" s="18"/>
      <c r="N8" s="18"/>
    </row>
    <row r="9" spans="1:14" ht="15.75" thickBot="1">
      <c r="A9" s="19" t="s">
        <v>90</v>
      </c>
      <c r="B9" s="10">
        <f>IRR(F8:F13)</f>
        <v>-0.51121469858131108</v>
      </c>
      <c r="C9" s="49"/>
      <c r="D9" s="16"/>
      <c r="E9" s="13">
        <v>1</v>
      </c>
      <c r="F9" s="14">
        <f>AVERAGE(Precificação!B8:B12)*5 - AVERAGE(Precificação!C8:C12)*5</f>
        <v>1806.6824999999994</v>
      </c>
      <c r="G9" s="48">
        <f t="shared" ref="G9:G18" si="2">G8+F9</f>
        <v>-121333.3175</v>
      </c>
      <c r="H9" s="17"/>
      <c r="I9" s="13">
        <v>1</v>
      </c>
      <c r="J9" s="15">
        <f t="shared" si="0"/>
        <v>1806.6824999999994</v>
      </c>
      <c r="K9" s="48">
        <f t="shared" si="1"/>
        <v>1672.8541666666661</v>
      </c>
      <c r="L9" s="48">
        <f t="shared" ref="L9:L18" si="3">L8+K9</f>
        <v>-121467.14583333333</v>
      </c>
      <c r="M9" s="18"/>
      <c r="N9" s="18"/>
    </row>
    <row r="10" spans="1:14" ht="15">
      <c r="A10" s="16"/>
      <c r="B10" s="17"/>
      <c r="C10" s="17"/>
      <c r="D10" s="16"/>
      <c r="E10" s="13">
        <v>2</v>
      </c>
      <c r="F10" s="14">
        <f>AVERAGE(Precificação!B13:B17)*5 - AVERAGE(Precificação!C13:C17)*5</f>
        <v>1806.6824999999994</v>
      </c>
      <c r="G10" s="48">
        <f t="shared" si="2"/>
        <v>-119526.63500000001</v>
      </c>
      <c r="H10" s="17"/>
      <c r="I10" s="13">
        <v>2</v>
      </c>
      <c r="J10" s="15">
        <f t="shared" si="0"/>
        <v>1806.6824999999994</v>
      </c>
      <c r="K10" s="48">
        <f t="shared" si="1"/>
        <v>1548.939043209876</v>
      </c>
      <c r="L10" s="48">
        <f t="shared" si="3"/>
        <v>-119918.20679012345</v>
      </c>
      <c r="M10" s="18"/>
      <c r="N10" s="18"/>
    </row>
    <row r="11" spans="1:14" ht="15">
      <c r="A11" s="19" t="s">
        <v>106</v>
      </c>
      <c r="B11" s="17"/>
      <c r="C11" s="17"/>
      <c r="D11" s="16"/>
      <c r="E11" s="13">
        <v>3</v>
      </c>
      <c r="F11" s="14">
        <f>AVERAGE(Precificação!B18:B22)*5 - AVERAGE(Precificação!C18:C22)*5</f>
        <v>1806.6824999999994</v>
      </c>
      <c r="G11" s="48">
        <f t="shared" si="2"/>
        <v>-117719.95250000001</v>
      </c>
      <c r="H11" s="17"/>
      <c r="I11" s="13">
        <v>3</v>
      </c>
      <c r="J11" s="15">
        <f t="shared" si="0"/>
        <v>1806.6824999999994</v>
      </c>
      <c r="K11" s="48">
        <f t="shared" si="1"/>
        <v>1434.2028177869222</v>
      </c>
      <c r="L11" s="48">
        <f t="shared" si="3"/>
        <v>-118484.00397233653</v>
      </c>
      <c r="M11" s="18"/>
      <c r="N11" s="18"/>
    </row>
    <row r="12" spans="1:14" ht="15.75" thickBot="1">
      <c r="A12" s="16"/>
      <c r="B12" s="40"/>
      <c r="C12" s="17"/>
      <c r="D12" s="16"/>
      <c r="E12" s="13">
        <v>4</v>
      </c>
      <c r="F12" s="14">
        <f>AVERAGE(Precificação!B23:B27)*5 - AVERAGE(Precificação!C23:C27)*5</f>
        <v>1806.6824999999994</v>
      </c>
      <c r="G12" s="48">
        <f t="shared" si="2"/>
        <v>-115913.27000000002</v>
      </c>
      <c r="H12" s="17"/>
      <c r="I12" s="13">
        <v>4</v>
      </c>
      <c r="J12" s="15">
        <f t="shared" si="0"/>
        <v>1806.6824999999994</v>
      </c>
      <c r="K12" s="48">
        <f t="shared" si="1"/>
        <v>1327.9655720249277</v>
      </c>
      <c r="L12" s="48">
        <f t="shared" si="3"/>
        <v>-117156.03840031161</v>
      </c>
      <c r="M12" s="18"/>
      <c r="N12" s="18"/>
    </row>
    <row r="13" spans="1:14" ht="15.75" thickBot="1">
      <c r="A13" s="67" t="str">
        <f>IF(B3&gt;0,"VPL &gt; 0 - Aceita o projeto",IF(B3=0,"VPL = 0 - É indiferente investir ou não no projeto",IF(B3&lt;0,"VPL &lt; 0 - Rejeita o projeto")))</f>
        <v>VPL &lt; 0 - Rejeita o projeto</v>
      </c>
      <c r="B13" s="40"/>
      <c r="C13" s="17"/>
      <c r="D13" s="16"/>
      <c r="E13" s="13">
        <v>5</v>
      </c>
      <c r="F13" s="14">
        <f>AVERAGE(Precificação!B28:B32)*5 - AVERAGE(Precificação!C28:C32)*5</f>
        <v>1806.6824999999994</v>
      </c>
      <c r="G13" s="48">
        <f t="shared" si="2"/>
        <v>-114106.58750000002</v>
      </c>
      <c r="H13" s="17"/>
      <c r="I13" s="13">
        <v>5</v>
      </c>
      <c r="J13" s="15">
        <f t="shared" si="0"/>
        <v>1806.6824999999994</v>
      </c>
      <c r="K13" s="48">
        <f t="shared" si="1"/>
        <v>1229.597751874933</v>
      </c>
      <c r="L13" s="48">
        <f t="shared" si="3"/>
        <v>-115926.44064843668</v>
      </c>
      <c r="M13" s="18"/>
      <c r="N13" s="18"/>
    </row>
    <row r="14" spans="1:14" ht="15.75" thickBot="1">
      <c r="A14" s="16"/>
      <c r="B14" s="40"/>
      <c r="C14" s="17"/>
      <c r="D14" s="16"/>
      <c r="E14" s="13">
        <v>6</v>
      </c>
      <c r="F14" s="14">
        <f>AVERAGE(Precificação!B33:B37)*5 - AVERAGE(Precificação!C33:C37)*5</f>
        <v>1806.6824999999994</v>
      </c>
      <c r="G14" s="48">
        <f t="shared" si="2"/>
        <v>-112299.90500000003</v>
      </c>
      <c r="H14" s="17"/>
      <c r="I14" s="13">
        <v>6</v>
      </c>
      <c r="J14" s="15">
        <f t="shared" si="0"/>
        <v>1806.6824999999994</v>
      </c>
      <c r="K14" s="50">
        <f t="shared" si="1"/>
        <v>1138.5164369212341</v>
      </c>
      <c r="L14" s="48">
        <f t="shared" si="3"/>
        <v>-114787.92421151545</v>
      </c>
      <c r="M14" s="18"/>
      <c r="N14" s="18"/>
    </row>
    <row r="15" spans="1:14" ht="15.75" thickBot="1">
      <c r="A15" s="66" t="str">
        <f>IF(B9&gt;J5,"TIR &gt; TMA - Aceita o projeto",IF(B9&lt;J5,"TIR &lt; TMA - Rejeita o projeto"))</f>
        <v>TIR &lt; TMA - Rejeita o projeto</v>
      </c>
      <c r="B15" s="40"/>
      <c r="C15" s="17"/>
      <c r="D15" s="16"/>
      <c r="E15" s="13">
        <v>7</v>
      </c>
      <c r="F15" s="14">
        <f>AVERAGE(Precificação!B38:B42)*5 - AVERAGE(Precificação!C38:C42)*5</f>
        <v>1806.6824999999994</v>
      </c>
      <c r="G15" s="48">
        <f t="shared" si="2"/>
        <v>-110493.22250000003</v>
      </c>
      <c r="H15" s="17"/>
      <c r="I15" s="13">
        <v>7</v>
      </c>
      <c r="J15" s="15">
        <f t="shared" si="0"/>
        <v>1806.6824999999994</v>
      </c>
      <c r="K15" s="50">
        <f t="shared" si="1"/>
        <v>1054.1818860381798</v>
      </c>
      <c r="L15" s="48">
        <f t="shared" si="3"/>
        <v>-113733.74232547727</v>
      </c>
      <c r="M15" s="18"/>
      <c r="N15" s="18"/>
    </row>
    <row r="16" spans="1:14" ht="12.75" customHeight="1">
      <c r="A16" s="16"/>
      <c r="B16" s="40"/>
      <c r="C16" s="17"/>
      <c r="D16" s="16"/>
      <c r="E16" s="13">
        <v>8</v>
      </c>
      <c r="F16" s="14">
        <f>AVERAGE(Precificação!B43:B47)*5 - AVERAGE(Precificação!C43:C47)*5</f>
        <v>1806.6824999999994</v>
      </c>
      <c r="G16" s="48">
        <f t="shared" si="2"/>
        <v>-108686.54000000004</v>
      </c>
      <c r="H16" s="17"/>
      <c r="I16" s="13">
        <v>8</v>
      </c>
      <c r="J16" s="15">
        <f t="shared" si="0"/>
        <v>1806.6824999999994</v>
      </c>
      <c r="K16" s="50">
        <f t="shared" si="1"/>
        <v>976.09433892424056</v>
      </c>
      <c r="L16" s="48">
        <f t="shared" si="3"/>
        <v>-112757.64798655303</v>
      </c>
      <c r="M16" s="18"/>
      <c r="N16" s="18"/>
    </row>
    <row r="17" spans="1:14" ht="15">
      <c r="A17" s="16"/>
      <c r="B17" s="40"/>
      <c r="C17" s="17"/>
      <c r="D17" s="16"/>
      <c r="E17" s="13">
        <v>9</v>
      </c>
      <c r="F17" s="14">
        <f>AVERAGE(Precificação!B48:B52)*5 - AVERAGE(Precificação!C48:C52)*5</f>
        <v>1806.6824999999994</v>
      </c>
      <c r="G17" s="48">
        <f t="shared" si="2"/>
        <v>-106879.85750000004</v>
      </c>
      <c r="H17" s="17"/>
      <c r="I17" s="13">
        <v>9</v>
      </c>
      <c r="J17" s="15">
        <f t="shared" si="0"/>
        <v>1806.6824999999994</v>
      </c>
      <c r="K17" s="50">
        <f t="shared" si="1"/>
        <v>903.79105455948195</v>
      </c>
      <c r="L17" s="48">
        <f t="shared" si="3"/>
        <v>-111853.85693199355</v>
      </c>
      <c r="M17" s="18"/>
      <c r="N17" s="18"/>
    </row>
    <row r="18" spans="1:14" ht="15">
      <c r="A18" s="16"/>
      <c r="B18" s="40"/>
      <c r="C18" s="17"/>
      <c r="D18" s="16"/>
      <c r="E18" s="13">
        <v>10</v>
      </c>
      <c r="F18" s="14">
        <f>AVERAGE(Precificação!B53:B57)*5 - AVERAGE(Precificação!C53:C57)*5</f>
        <v>1806.6824999999994</v>
      </c>
      <c r="G18" s="48">
        <f t="shared" si="2"/>
        <v>-105073.17500000005</v>
      </c>
      <c r="H18" s="17"/>
      <c r="I18" s="13">
        <v>10</v>
      </c>
      <c r="J18" s="15">
        <f t="shared" ref="J18" si="4">F18</f>
        <v>1806.6824999999994</v>
      </c>
      <c r="K18" s="50">
        <f t="shared" si="1"/>
        <v>836.84356903655726</v>
      </c>
      <c r="L18" s="48">
        <f t="shared" si="3"/>
        <v>-111017.01336295699</v>
      </c>
      <c r="M18" s="18"/>
      <c r="N18" s="18"/>
    </row>
    <row r="19" spans="1:14" ht="12" customHeight="1" thickBot="1">
      <c r="A19" s="16"/>
      <c r="B19" s="40"/>
      <c r="C19" s="17"/>
      <c r="D19" s="27"/>
      <c r="E19" s="59"/>
      <c r="F19" s="59"/>
      <c r="G19" s="59"/>
      <c r="H19" s="59"/>
      <c r="I19" s="59"/>
      <c r="J19" s="59"/>
      <c r="K19" s="59"/>
      <c r="L19" s="59"/>
      <c r="M19" s="29"/>
      <c r="N19" s="18"/>
    </row>
    <row r="20" spans="1:14" ht="22.5" hidden="1" customHeight="1">
      <c r="A20" s="58"/>
      <c r="E20">
        <f>ROUND(IF(G9&gt;=0,0-G8/F9,IF(G10&gt;=0,1-G9/F10,IF(G11&gt;=0,2-G10/F11,IF(G12&gt;=0,3-G11/F10,IF(G13&gt;=0,4-G12/F11,IF(G14&gt;=0,5-G13/F12,IF(G15&gt;=0,6-G14/F13,IF(G16&gt;=0,7-G15/F14,IF(G17&gt;=0,8-G16/F15,IF(G18&gt;=0,9-G17/F16)))))))))),2)</f>
        <v>0</v>
      </c>
      <c r="I20">
        <f>ROUND(IF(L9&gt;=0,0-L8/K9,IF(L10&gt;=0,1-L9/K10,IF(L11&gt;=0,2-L10/K11,IF(L12&gt;=0,3-L11/K12,IF(L13&gt;=0,4-L12/K13,IF(L14&gt;=0,5-L13/K14,IF(L15&gt;=0,6-L14/K15,IF(L16&gt;=0,7-L15/K16,IF(L17&gt;=0,8-L16/K17,IF(L18&gt;=0,9-L17/K18)))))))))),2)</f>
        <v>0</v>
      </c>
      <c r="N20" s="57"/>
    </row>
    <row r="21" spans="1:14" ht="7.5" customHeight="1" thickBo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9"/>
    </row>
    <row r="22" spans="1:14">
      <c r="A22" s="4"/>
    </row>
    <row r="29" spans="1:14" ht="12.75" customHeight="1"/>
    <row r="30" spans="1:14" ht="12.75" customHeight="1"/>
    <row r="31" spans="1:14" ht="12.75" customHeight="1"/>
    <row r="32" spans="1:14" ht="12.75" customHeight="1"/>
  </sheetData>
  <customSheetViews>
    <customSheetView guid="{ED5E4BD8-70AD-414F-AD0F-BD75B337D161}" showGridLines="0" hiddenRows="1" topLeftCell="A7">
      <selection activeCell="A15" sqref="A15"/>
      <pageMargins left="0.511811024" right="0.511811024" top="0.78740157499999996" bottom="0.78740157499999996" header="0.31496062000000002" footer="0.31496062000000002"/>
    </customSheetView>
  </customSheetViews>
  <mergeCells count="3">
    <mergeCell ref="E6:G6"/>
    <mergeCell ref="I6:L6"/>
    <mergeCell ref="A1:N1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A1:N14"/>
  <sheetViews>
    <sheetView workbookViewId="0">
      <selection activeCell="E21" sqref="E21"/>
    </sheetView>
  </sheetViews>
  <sheetFormatPr defaultColWidth="8.85546875" defaultRowHeight="12.75"/>
  <cols>
    <col min="1" max="1" width="23.42578125" customWidth="1"/>
    <col min="2" max="2" width="18.42578125" customWidth="1"/>
    <col min="3" max="3" width="15.7109375" customWidth="1"/>
    <col min="4" max="4" width="2.140625" customWidth="1"/>
    <col min="5" max="5" width="21.42578125" customWidth="1"/>
    <col min="6" max="6" width="20.7109375" customWidth="1"/>
    <col min="8" max="8" width="16.85546875" customWidth="1"/>
    <col min="12" max="12" width="10.140625" customWidth="1"/>
  </cols>
  <sheetData>
    <row r="1" spans="1:14" ht="15.75">
      <c r="A1" s="86" t="s">
        <v>104</v>
      </c>
      <c r="B1" s="87"/>
      <c r="C1" s="87"/>
      <c r="D1" s="87"/>
      <c r="E1" s="87"/>
      <c r="F1" s="87"/>
      <c r="G1" s="87"/>
      <c r="H1" s="88"/>
      <c r="I1" s="52"/>
      <c r="J1" s="52"/>
      <c r="K1" s="52"/>
      <c r="L1" s="52"/>
      <c r="M1" s="52"/>
      <c r="N1" s="53"/>
    </row>
    <row r="2" spans="1:14" ht="15">
      <c r="A2" s="60"/>
      <c r="B2" s="61"/>
      <c r="C2" s="61"/>
      <c r="D2" s="61"/>
      <c r="E2" s="61"/>
      <c r="F2" s="61"/>
      <c r="G2" s="61"/>
      <c r="H2" s="62"/>
      <c r="I2" s="54"/>
      <c r="J2" s="54"/>
      <c r="K2" s="54"/>
      <c r="L2" s="54"/>
      <c r="M2" s="54"/>
      <c r="N2" s="54"/>
    </row>
    <row r="3" spans="1:14" ht="15">
      <c r="A3" s="63" t="s">
        <v>97</v>
      </c>
      <c r="B3" s="61"/>
      <c r="C3" s="61"/>
      <c r="D3" s="61"/>
      <c r="E3" s="64" t="s">
        <v>96</v>
      </c>
      <c r="F3" s="61"/>
      <c r="G3" s="61"/>
      <c r="H3" s="62"/>
      <c r="I3" s="54"/>
      <c r="J3" s="54"/>
      <c r="K3" s="54"/>
      <c r="L3" s="54"/>
      <c r="M3" s="54"/>
      <c r="N3" s="54"/>
    </row>
    <row r="4" spans="1:14" ht="15.75" thickBot="1">
      <c r="A4" s="63" t="s">
        <v>10</v>
      </c>
      <c r="B4" s="61"/>
      <c r="C4" s="61"/>
      <c r="D4" s="61"/>
      <c r="E4" s="64" t="s">
        <v>10</v>
      </c>
      <c r="F4" s="61"/>
      <c r="G4" s="61"/>
      <c r="H4" s="62"/>
      <c r="I4" s="54"/>
      <c r="J4" s="54"/>
      <c r="K4" s="54"/>
      <c r="L4" s="54"/>
      <c r="M4" s="54"/>
      <c r="N4" s="54"/>
    </row>
    <row r="5" spans="1:14" ht="15.75" thickBot="1">
      <c r="A5" s="60" t="s">
        <v>98</v>
      </c>
      <c r="B5" s="61"/>
      <c r="C5" s="6">
        <f>'Análise econômica'!B3</f>
        <v>-102793.53089162684</v>
      </c>
      <c r="D5" s="61"/>
      <c r="E5" s="61" t="s">
        <v>98</v>
      </c>
      <c r="F5" s="61"/>
      <c r="G5" s="10">
        <f>ABS('Análise econômica'!B9)</f>
        <v>0.51121469858131108</v>
      </c>
      <c r="H5" s="62"/>
      <c r="I5" s="54"/>
      <c r="J5" s="54"/>
      <c r="K5" s="54"/>
      <c r="L5" s="54"/>
      <c r="M5" s="54"/>
      <c r="N5" s="54"/>
    </row>
    <row r="6" spans="1:14" ht="15.75" thickBot="1">
      <c r="A6" s="60" t="s">
        <v>99</v>
      </c>
      <c r="B6" s="61"/>
      <c r="C6" s="6">
        <f>C5*0.5</f>
        <v>-51396.76544581342</v>
      </c>
      <c r="D6" s="61"/>
      <c r="E6" s="61" t="s">
        <v>99</v>
      </c>
      <c r="F6" s="61"/>
      <c r="G6" s="10">
        <f>G5*0.5</f>
        <v>0.25560734929065554</v>
      </c>
      <c r="H6" s="62"/>
      <c r="I6" s="54"/>
      <c r="J6" s="54"/>
      <c r="K6" s="54"/>
      <c r="L6" s="54"/>
      <c r="M6" s="54"/>
      <c r="N6" s="54"/>
    </row>
    <row r="7" spans="1:14" ht="15.75" thickBot="1">
      <c r="A7" s="60" t="s">
        <v>102</v>
      </c>
      <c r="B7" s="17"/>
      <c r="C7" s="1">
        <v>1000</v>
      </c>
      <c r="D7" s="17"/>
      <c r="E7" s="61" t="s">
        <v>102</v>
      </c>
      <c r="F7" s="17"/>
      <c r="G7" s="1">
        <v>1000</v>
      </c>
      <c r="H7" s="18"/>
    </row>
    <row r="8" spans="1:14" ht="15">
      <c r="A8" s="60"/>
      <c r="B8" s="17"/>
      <c r="C8" s="17"/>
      <c r="D8" s="17"/>
      <c r="E8" s="17"/>
      <c r="F8" s="17"/>
      <c r="G8" s="17"/>
      <c r="H8" s="18"/>
    </row>
    <row r="9" spans="1:14">
      <c r="A9" s="19" t="s">
        <v>100</v>
      </c>
      <c r="B9" s="17"/>
      <c r="C9" s="17"/>
      <c r="D9" s="17"/>
      <c r="E9" s="26" t="s">
        <v>101</v>
      </c>
      <c r="F9" s="17"/>
      <c r="G9" s="17"/>
      <c r="H9" s="18"/>
    </row>
    <row r="10" spans="1:14" ht="13.5" thickBot="1">
      <c r="A10" s="16"/>
      <c r="B10" s="17"/>
      <c r="C10" s="17"/>
      <c r="D10" s="17"/>
      <c r="E10" s="17"/>
      <c r="F10" s="17"/>
      <c r="G10" s="17"/>
      <c r="H10" s="18"/>
    </row>
    <row r="11" spans="1:14" ht="13.5" thickBot="1">
      <c r="A11" s="19" t="s">
        <v>95</v>
      </c>
      <c r="B11" s="17"/>
      <c r="C11" s="6"/>
      <c r="D11" s="17"/>
      <c r="E11" s="26" t="s">
        <v>96</v>
      </c>
      <c r="F11" s="17"/>
      <c r="G11" s="10"/>
      <c r="H11" s="18"/>
    </row>
    <row r="12" spans="1:14" ht="13.5" thickBot="1">
      <c r="A12" s="27"/>
      <c r="B12" s="28"/>
      <c r="C12" s="28"/>
      <c r="D12" s="28"/>
      <c r="E12" s="28"/>
      <c r="F12" s="28"/>
      <c r="G12" s="28"/>
      <c r="H12" s="29"/>
    </row>
    <row r="13" spans="1:14">
      <c r="A13" s="55"/>
    </row>
    <row r="14" spans="1:14">
      <c r="C14" s="56"/>
    </row>
  </sheetData>
  <customSheetViews>
    <customSheetView guid="{ED5E4BD8-70AD-414F-AD0F-BD75B337D161}">
      <selection activeCell="L5" sqref="L5"/>
      <pageMargins left="0.511811024" right="0.511811024" top="0.78740157499999996" bottom="0.78740157499999996" header="0.31496062000000002" footer="0.31496062000000002"/>
    </customSheetView>
  </customSheetViews>
  <mergeCells count="1">
    <mergeCell ref="A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acro7">
                <anchor moveWithCells="1" sizeWithCells="1">
                  <from>
                    <xdr:col>1</xdr:col>
                    <xdr:colOff>47625</xdr:colOff>
                    <xdr:row>10</xdr:row>
                    <xdr:rowOff>28575</xdr:rowOff>
                  </from>
                  <to>
                    <xdr:col>1</xdr:col>
                    <xdr:colOff>1152525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Macro8">
                <anchor moveWithCells="1" sizeWithCells="1">
                  <from>
                    <xdr:col>5</xdr:col>
                    <xdr:colOff>28575</xdr:colOff>
                    <xdr:row>9</xdr:row>
                    <xdr:rowOff>142875</xdr:rowOff>
                  </from>
                  <to>
                    <xdr:col>5</xdr:col>
                    <xdr:colOff>1171575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9751AB075F8444DBAC68FE11CEBB632" ma:contentTypeVersion="13" ma:contentTypeDescription="Crie um novo documento." ma:contentTypeScope="" ma:versionID="e3d9a84486869b661288b6c7c8caf51a">
  <xsd:schema xmlns:xsd="http://www.w3.org/2001/XMLSchema" xmlns:xs="http://www.w3.org/2001/XMLSchema" xmlns:p="http://schemas.microsoft.com/office/2006/metadata/properties" xmlns:ns2="fff72483-f629-480c-8f84-1a9627297dd4" xmlns:ns3="9a378b60-04e7-4383-8d90-377bd2657d6b" targetNamespace="http://schemas.microsoft.com/office/2006/metadata/properties" ma:root="true" ma:fieldsID="ac7ade629277e1de3719ee2d1a95487f" ns2:_="" ns3:_="">
    <xsd:import namespace="fff72483-f629-480c-8f84-1a9627297dd4"/>
    <xsd:import namespace="9a378b60-04e7-4383-8d90-377bd2657d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f72483-f629-480c-8f84-1a9627297d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242374f3-4cab-4e95-b6f7-35998408ef9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378b60-04e7-4383-8d90-377bd2657d6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8d9142ea-0984-4e2c-ab2b-28d8b2aee1b9}" ma:internalName="TaxCatchAll" ma:showField="CatchAllData" ma:web="9a378b60-04e7-4383-8d90-377bd2657d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378b60-04e7-4383-8d90-377bd2657d6b" xsi:nil="true"/>
    <lcf76f155ced4ddcb4097134ff3c332f xmlns="fff72483-f629-480c-8f84-1a9627297dd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940185E-6F0A-46AA-9036-8FEA2067058E}"/>
</file>

<file path=customXml/itemProps2.xml><?xml version="1.0" encoding="utf-8"?>
<ds:datastoreItem xmlns:ds="http://schemas.openxmlformats.org/officeDocument/2006/customXml" ds:itemID="{97821BD5-241F-4FE4-BC78-479091DEF01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7872CB-38F6-48EC-818C-7AE71D7B4E53}">
  <ds:schemaRefs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9a378b60-04e7-4383-8d90-377bd2657d6b"/>
    <ds:schemaRef ds:uri="fff72483-f629-480c-8f84-1a9627297dd4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Instruções</vt:lpstr>
      <vt:lpstr>Resumo</vt:lpstr>
      <vt:lpstr>Software</vt:lpstr>
      <vt:lpstr>Hardware</vt:lpstr>
      <vt:lpstr>Componentes</vt:lpstr>
      <vt:lpstr>Custo Total</vt:lpstr>
      <vt:lpstr>Precificação</vt:lpstr>
      <vt:lpstr>Análise econômica</vt:lpstr>
      <vt:lpstr>Simulação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Cardoso Villano</dc:creator>
  <cp:lastModifiedBy>Danilo Borges Meira</cp:lastModifiedBy>
  <dcterms:created xsi:type="dcterms:W3CDTF">2016-04-26T14:12:57Z</dcterms:created>
  <dcterms:modified xsi:type="dcterms:W3CDTF">2025-04-02T19:16:07Z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0x010100C9751AB075F8444DBAC68FE11CEBB632</vt:lpwstr>
  </property>
  <property fmtid="{D5CDD505-2E9C-101B-9397-08002B2CF9AE}" pid="3" name="MediaServiceImageTags">
    <vt:lpwstr/>
  </property>
</Properties>
</file>