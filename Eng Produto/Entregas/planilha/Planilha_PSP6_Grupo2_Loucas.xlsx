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dos " sheetId="1" state="visible" r:id="rId1"/>
    <sheet xmlns:r="http://schemas.openxmlformats.org/officeDocument/2006/relationships" name="Lista de Necessidades" sheetId="2" state="visible" r:id="rId2"/>
    <sheet xmlns:r="http://schemas.openxmlformats.org/officeDocument/2006/relationships" name="Matriz de Atributos" sheetId="3" state="visible" r:id="rId3"/>
    <sheet xmlns:r="http://schemas.openxmlformats.org/officeDocument/2006/relationships" name="Diagrama de Kano" sheetId="4" state="visible" r:id="rId4"/>
    <sheet xmlns:r="http://schemas.openxmlformats.org/officeDocument/2006/relationships" name="Diagrama de Mudge" sheetId="5" state="visible" r:id="rId5"/>
    <sheet xmlns:r="http://schemas.openxmlformats.org/officeDocument/2006/relationships" name="Diagrama de Pareto" sheetId="6" state="visible" r:id="rId6"/>
    <sheet xmlns:r="http://schemas.openxmlformats.org/officeDocument/2006/relationships" name="Benchmarking" sheetId="7" state="visible" r:id="rId7"/>
    <sheet xmlns:r="http://schemas.openxmlformats.org/officeDocument/2006/relationships" name="Requisito de Projeto" sheetId="8" state="visible" r:id="rId8"/>
    <sheet xmlns:r="http://schemas.openxmlformats.org/officeDocument/2006/relationships" name="MUDGE 2" sheetId="9" state="hidden" r:id="rId9"/>
    <sheet xmlns:r="http://schemas.openxmlformats.org/officeDocument/2006/relationships" name="Matriz de Relacionamento" sheetId="10" state="visible" r:id="rId10"/>
    <sheet xmlns:r="http://schemas.openxmlformats.org/officeDocument/2006/relationships" name="Matriz de Correlação" sheetId="11" state="visible" r:id="rId11"/>
    <sheet xmlns:r="http://schemas.openxmlformats.org/officeDocument/2006/relationships" name="QFD" sheetId="12" state="visible" r:id="rId12"/>
    <sheet xmlns:r="http://schemas.openxmlformats.org/officeDocument/2006/relationships" name="Especificação Meta" sheetId="13" state="visible" r:id="rId13"/>
    <sheet xmlns:r="http://schemas.openxmlformats.org/officeDocument/2006/relationships" name="Função Global" sheetId="14" state="visible" r:id="rId14"/>
    <sheet xmlns:r="http://schemas.openxmlformats.org/officeDocument/2006/relationships" name=" FAST " sheetId="15" state="visible" r:id="rId15"/>
    <sheet xmlns:r="http://schemas.openxmlformats.org/officeDocument/2006/relationships" name="Funções Parciais" sheetId="16" state="visible" r:id="rId16"/>
    <sheet xmlns:r="http://schemas.openxmlformats.org/officeDocument/2006/relationships" name="Modelagem V0" sheetId="17" state="visible" r:id="rId17"/>
    <sheet xmlns:r="http://schemas.openxmlformats.org/officeDocument/2006/relationships" name="Modelagens Alternativas" sheetId="18" state="visible" r:id="rId18"/>
    <sheet xmlns:r="http://schemas.openxmlformats.org/officeDocument/2006/relationships" name="Matriz Pugh das Modelagens" sheetId="19" state="visible" r:id="rId19"/>
    <sheet xmlns:r="http://schemas.openxmlformats.org/officeDocument/2006/relationships" name="Matriz Morfologica " sheetId="20" state="visible" r:id="rId20"/>
    <sheet xmlns:r="http://schemas.openxmlformats.org/officeDocument/2006/relationships" name="TRIZ" sheetId="21" state="visible" r:id="rId21"/>
    <sheet xmlns:r="http://schemas.openxmlformats.org/officeDocument/2006/relationships" name="MIM1" sheetId="22" state="hidden" r:id="rId22"/>
    <sheet xmlns:r="http://schemas.openxmlformats.org/officeDocument/2006/relationships" name="MIM" sheetId="23" state="visible" r:id="rId23"/>
    <sheet xmlns:r="http://schemas.openxmlformats.org/officeDocument/2006/relationships" name="Arquitetura Modular" sheetId="24" state="visible" r:id="rId24"/>
    <sheet xmlns:r="http://schemas.openxmlformats.org/officeDocument/2006/relationships" name="Concepções" sheetId="25" state="visible" r:id="rId25"/>
    <sheet xmlns:r="http://schemas.openxmlformats.org/officeDocument/2006/relationships" name="Cópia de MIM" sheetId="26" state="hidden" r:id="rId26"/>
    <sheet xmlns:r="http://schemas.openxmlformats.org/officeDocument/2006/relationships" name="Matriz Pugh das Concepções" sheetId="27" state="visible" r:id="rId27"/>
    <sheet xmlns:r="http://schemas.openxmlformats.org/officeDocument/2006/relationships" name="Lista de Materiais" sheetId="28" state="visible" r:id="rId28"/>
    <sheet xmlns:r="http://schemas.openxmlformats.org/officeDocument/2006/relationships" name="Viabilidade Técnica" sheetId="29" state="visible" r:id="rId29"/>
    <sheet xmlns:r="http://schemas.openxmlformats.org/officeDocument/2006/relationships" name="Análise de Valor" sheetId="30" state="visible" r:id="rId30"/>
  </sheets>
  <definedNames>
    <definedName name="_xlnm._FilterDatabase" localSheetId="1" hidden="1">'Lista de Necessidades'!$E$1:$E$987</definedName>
    <definedName name="_xlnm._FilterDatabase" localSheetId="2" hidden="1">'Matriz de Atributos'!$B$16:$F$46</definedName>
    <definedName name="_xlnm._FilterDatabase" localSheetId="3" hidden="1">'Diagrama de Kano'!$B$2:$D$22</definedName>
    <definedName name="_xlnm._FilterDatabase" localSheetId="5" hidden="1">'Diagrama de Pareto'!$A$1:$F$21</definedName>
    <definedName name="_xlnm._FilterDatabase" localSheetId="9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R$ -416]#,##0.00"/>
  </numFmts>
  <fonts count="60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</fonts>
  <fills count="4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4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numFmtId="0" fontId="0" fillId="0" borderId="0"/>
  </cellStyleXfs>
  <cellXfs count="49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applyAlignment="1" pivotButton="0" quotePrefix="0" xfId="0">
      <alignment/>
    </xf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applyAlignment="1" pivotButton="0" quotePrefix="0" xfId="0">
      <alignment/>
    </xf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</cellXfs>
  <cellStyles count="1">
    <cellStyle name="Normal" xfId="0" builtinId="0"/>
  </cellStyles>
  <dxfs count="4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Pareto'!$B$2:$B$27</f>
            </numRef>
          </cat>
          <val>
            <numRef>
              <f>'Diagrama de Pareto'!$C$2:$C$27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Pareto'!$E$2:$E$27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26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Limitar impacto, vibração e atrito transmitidos à louça durante todo o percurso</t>
        </is>
      </c>
    </row>
    <row r="2">
      <c r="A2" s="215" t="n">
        <v>2</v>
      </c>
      <c r="B2" s="215" t="inlineStr">
        <is>
          <t>Impedir deslocamento, tombamento e queda da louça no transporte e na movimentação</t>
        </is>
      </c>
    </row>
    <row r="3">
      <c r="A3" s="215" t="n">
        <v>3</v>
      </c>
      <c r="B3" s="215" t="inlineStr">
        <is>
          <t>Acomodar as variações de louça relevantes para a operação do distribuidor</t>
        </is>
      </c>
    </row>
    <row r="4">
      <c r="A4" s="215" t="n">
        <v>4</v>
      </c>
      <c r="B4" s="215" t="inlineStr">
        <is>
          <t>Permitir a verificação da integridade da louça no ato do recebimento</t>
        </is>
      </c>
    </row>
    <row r="5">
      <c r="A5" s="215" t="n">
        <v>5</v>
      </c>
      <c r="B5" s="215" t="inlineStr">
        <is>
          <t>Sinalizar visualmente o uso, o fechamento e a montagem corretos</t>
        </is>
      </c>
    </row>
    <row r="6">
      <c r="A6" s="215" t="n">
        <v>6</v>
      </c>
      <c r="B6" s="215" t="inlineStr">
        <is>
          <t>Não aumentar o tempo de preparação e de conferência em relação à prática atual</t>
        </is>
      </c>
    </row>
    <row r="7">
      <c r="A7" s="215" t="n">
        <v>7</v>
      </c>
      <c r="B7" s="215" t="inlineStr">
        <is>
          <t>Permitir a movimentação por uma ou duas pessoas pelos acessos reais da obra</t>
        </is>
      </c>
    </row>
    <row r="8">
      <c r="A8" s="215" t="n">
        <v>8</v>
      </c>
      <c r="B8" s="215" t="inlineStr">
        <is>
          <t>Evitar esforço excessivo e posturas críticas na carga, na descarga e na movimentação</t>
        </is>
      </c>
    </row>
    <row r="9">
      <c r="A9" s="215" t="n">
        <v>9</v>
      </c>
      <c r="B9" s="215" t="inlineStr">
        <is>
          <t>Permitir a retirada da louça sem contato com arestas cortantes</t>
        </is>
      </c>
    </row>
    <row r="10">
      <c r="A10" s="215" t="n">
        <v>10</v>
      </c>
      <c r="B10" s="215" t="inlineStr">
        <is>
          <t>Ter procedimento de uso simples para serviço rotineiro, sem treinamento formal</t>
        </is>
      </c>
    </row>
    <row r="11">
      <c r="A11" s="215" t="n">
        <v>11</v>
      </c>
      <c r="B11" s="215" t="inlineStr">
        <is>
          <t>Permitir manuseio e montagem sem ferramenta especial ou ajuste improvisado</t>
        </is>
      </c>
    </row>
    <row r="12">
      <c r="A12" s="215" t="n">
        <v>12</v>
      </c>
      <c r="B12" s="215" t="inlineStr">
        <is>
          <t>Ocupar pouco espaço no veículo, no estoque do distribuidor e no canteiro</t>
        </is>
      </c>
    </row>
    <row r="13">
      <c r="A13" s="215" t="n">
        <v>13</v>
      </c>
      <c r="B13" s="215" t="inlineStr">
        <is>
          <t>Reduzir o volume ocupado quando vazio, fora de uso ou em retorno</t>
        </is>
      </c>
    </row>
    <row r="14">
      <c r="A14" s="215" t="n">
        <v>14</v>
      </c>
      <c r="B14" s="215" t="inlineStr">
        <is>
          <t>Ser compatível com o veículo, a unitização e a amarração já utilizados</t>
        </is>
      </c>
    </row>
    <row r="15">
      <c r="A15" s="215" t="n">
        <v>15</v>
      </c>
      <c r="B15" s="215" t="inlineStr">
        <is>
          <t>Ser empilhável e estável no estoque, no veículo e no canteiro</t>
        </is>
      </c>
    </row>
    <row r="16">
      <c r="A16" s="215" t="n">
        <v>16</v>
      </c>
      <c r="B16" s="215" t="inlineStr">
        <is>
          <t>Manter desempenho de proteção repetível entre unidades, configurações e entregas</t>
        </is>
      </c>
    </row>
    <row r="17">
      <c r="A17" s="215" t="n">
        <v>17</v>
      </c>
      <c r="B17" s="215" t="inlineStr">
        <is>
          <t>Permitir inspeção e bloqueio de unidades não conformes antes da expedição</t>
        </is>
      </c>
    </row>
    <row r="18">
      <c r="A18" s="215" t="n">
        <v>18</v>
      </c>
      <c r="B18" s="215" t="inlineStr">
        <is>
          <t>Permitir o rastreamento de configuração, lote, entrega e retorno</t>
        </is>
      </c>
    </row>
    <row r="19">
      <c r="A19" s="215" t="n">
        <v>19</v>
      </c>
      <c r="B19" s="215" t="inlineStr">
        <is>
          <t>Suportar ciclos repetidos de uso, retorno e rearmazenamento sem perder função</t>
        </is>
      </c>
    </row>
    <row r="20" s="463">
      <c r="A20" s="215" t="n">
        <v>20</v>
      </c>
      <c r="B20" s="215" t="inlineStr">
        <is>
          <t>Resistir às condições reais de estoque, de transporte e de canteiro</t>
        </is>
      </c>
    </row>
    <row r="21">
      <c r="A21" s="215" t="n">
        <v>21</v>
      </c>
      <c r="B21" s="215" t="inlineStr">
        <is>
          <t>Permitir a identificação e a segregação dos materiais no descarte</t>
        </is>
      </c>
    </row>
    <row r="22">
      <c r="A22" s="215" t="n">
        <v>22</v>
      </c>
      <c r="B22" s="215" t="inlineStr">
        <is>
          <t>Gerar pouco resíduo no canteiro e na operação do distribuidor</t>
        </is>
      </c>
    </row>
    <row r="23">
      <c r="A23" s="215" t="n">
        <v>23</v>
      </c>
      <c r="B23" s="215" t="inlineStr">
        <is>
          <t>Ser composto por componentes padronizados e configurável por montagem final</t>
        </is>
      </c>
    </row>
    <row r="24">
      <c r="A24" s="215" t="n">
        <v>24</v>
      </c>
      <c r="B24" s="215" t="inlineStr">
        <is>
          <t>Ter montagem final rápida e em poucas etapas</t>
        </is>
      </c>
    </row>
    <row r="25">
      <c r="A25" s="215" t="n">
        <v>25</v>
      </c>
      <c r="B25" s="215" t="inlineStr">
        <is>
          <t>Usar matérias-primas acessíveis e disponíveis no mercado local</t>
        </is>
      </c>
    </row>
    <row r="26">
      <c r="A26" s="215" t="n">
        <v>26</v>
      </c>
      <c r="B26" s="215" t="inlineStr">
        <is>
          <t>Ter custo por ciclo de uso inferior ao custo médio da avaria evitada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2" t="inlineStr">
        <is>
          <t>Etapa do Ciclo de Vida</t>
        </is>
      </c>
      <c r="B1" s="2" t="inlineStr">
        <is>
          <t>ID</t>
        </is>
      </c>
      <c r="C1" s="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12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12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12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12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12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12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12" t="n">
        <v>7</v>
      </c>
      <c r="C8" s="36" t="inlineStr">
        <is>
          <t>Ter dimensões e tolerâncias repetíveis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12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12" t="n">
        <v>9</v>
      </c>
      <c r="C10" s="36" t="inlineStr">
        <is>
          <t>Ser resistente à umidade e à corrosão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12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12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12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12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12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12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12" t="n">
        <v>16</v>
      </c>
      <c r="C17" s="36" t="inlineStr">
        <is>
          <t>Ser empilhável e estável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12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12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12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12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12" t="n">
        <v>21</v>
      </c>
      <c r="C22" s="36" t="inlineStr">
        <is>
          <t>Ser compatível com o veículo, a unitização e a amarração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12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12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12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12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12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12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12" t="n">
        <v>28</v>
      </c>
      <c r="C29" s="36" t="inlineStr">
        <is>
          <t>Amortecer impacto e vibração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12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12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portas e corredores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1" t="n"/>
      <c r="C17" s="51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1" t="inlineStr">
        <is>
          <t>Etapa do Ciclo de Vida</t>
        </is>
      </c>
      <c r="C18" s="51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1" t="inlineStr">
        <is>
          <t>Projeto</t>
        </is>
      </c>
      <c r="C19" s="51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1" t="inlineStr">
        <is>
          <t>Projeto</t>
        </is>
      </c>
      <c r="C20" s="51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1" t="inlineStr">
        <is>
          <t>Projeto</t>
        </is>
      </c>
      <c r="C21" s="51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1" t="inlineStr">
        <is>
          <t>Projeto</t>
        </is>
      </c>
      <c r="C22" s="51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1" t="inlineStr">
        <is>
          <t>Fabricação</t>
        </is>
      </c>
      <c r="C23" s="51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1" t="inlineStr">
        <is>
          <t>Fabricação</t>
        </is>
      </c>
      <c r="C24" s="51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1" t="inlineStr">
        <is>
          <t>Fabricação</t>
        </is>
      </c>
      <c r="C25" s="51" t="n">
        <v>7</v>
      </c>
      <c r="D25" s="442" t="inlineStr">
        <is>
          <t>Ter dimensões e tolerâncias repetíveis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1" t="inlineStr">
        <is>
          <t>Armazenagem de peças</t>
        </is>
      </c>
      <c r="C26" s="51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1" t="inlineStr">
        <is>
          <t>Armazenagem de peças</t>
        </is>
      </c>
      <c r="C27" s="51" t="n">
        <v>9</v>
      </c>
      <c r="D27" s="442" t="inlineStr">
        <is>
          <t>Ser resistente à umidade e à corrosão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1" t="inlineStr">
        <is>
          <t>Armazenagem de peças</t>
        </is>
      </c>
      <c r="C28" s="51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1" t="inlineStr">
        <is>
          <t>Montagem</t>
        </is>
      </c>
      <c r="C29" s="51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1" t="inlineStr">
        <is>
          <t>Montagem</t>
        </is>
      </c>
      <c r="C30" s="51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1" t="inlineStr">
        <is>
          <t>Montagem</t>
        </is>
      </c>
      <c r="C31" s="51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1" t="inlineStr">
        <is>
          <t>Montagem</t>
        </is>
      </c>
      <c r="C32" s="51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1" t="inlineStr">
        <is>
          <t>Armazenagem do produto</t>
        </is>
      </c>
      <c r="C33" s="51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1" t="inlineStr">
        <is>
          <t>Armazenagem do produto</t>
        </is>
      </c>
      <c r="C34" s="51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1" t="inlineStr">
        <is>
          <t>Armazenagem do produto</t>
        </is>
      </c>
      <c r="C35" s="51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1" t="inlineStr">
        <is>
          <t>Venda</t>
        </is>
      </c>
      <c r="C36" s="51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1" t="inlineStr">
        <is>
          <t>Venda</t>
        </is>
      </c>
      <c r="C37" s="51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1" t="inlineStr">
        <is>
          <t>Venda</t>
        </is>
      </c>
      <c r="C38" s="51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1" t="inlineStr">
        <is>
          <t>Distribuição</t>
        </is>
      </c>
      <c r="C39" s="51" t="n">
        <v>21</v>
      </c>
      <c r="D39" s="442" t="inlineStr">
        <is>
          <t>Ser compatível com o veículo, a unitização e a amarração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1" t="inlineStr">
        <is>
          <t>Distribuição</t>
        </is>
      </c>
      <c r="C40" s="51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1" t="inlineStr">
        <is>
          <t>Distribuição</t>
        </is>
      </c>
      <c r="C41" s="51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1" t="inlineStr">
        <is>
          <t>Uso no distribuidor</t>
        </is>
      </c>
      <c r="C42" s="51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1" t="inlineStr">
        <is>
          <t>Uso no distribuidor</t>
        </is>
      </c>
      <c r="C43" s="51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1" t="inlineStr">
        <is>
          <t>Uso no distribuidor</t>
        </is>
      </c>
      <c r="C44" s="51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1" t="inlineStr">
        <is>
          <t>Uso no distribuidor</t>
        </is>
      </c>
      <c r="C45" s="51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1" t="inlineStr">
        <is>
          <t>Função</t>
        </is>
      </c>
      <c r="C46" s="51" t="n">
        <v>28</v>
      </c>
      <c r="D46" s="442" t="inlineStr">
        <is>
          <t>Amortecer impacto e vibração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1" t="inlineStr">
        <is>
          <t>Função</t>
        </is>
      </c>
      <c r="C47" s="51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1" t="inlineStr">
        <is>
          <t>Função</t>
        </is>
      </c>
      <c r="C48" s="51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1" t="inlineStr">
        <is>
          <t>Função</t>
        </is>
      </c>
      <c r="C49" s="51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1" t="inlineStr">
        <is>
          <t>Movimentação na obra</t>
        </is>
      </c>
      <c r="C50" s="51" t="n">
        <v>32</v>
      </c>
      <c r="D50" s="442" t="inlineStr">
        <is>
          <t>Ter dimensões compatíveis com portas e corredores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1" t="inlineStr">
        <is>
          <t>Movimentação na obra</t>
        </is>
      </c>
      <c r="C51" s="51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1" t="inlineStr">
        <is>
          <t>Movimentação na obra</t>
        </is>
      </c>
      <c r="C52" s="51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1" t="inlineStr">
        <is>
          <t>Movimentação na obra</t>
        </is>
      </c>
      <c r="C53" s="51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1" t="inlineStr">
        <is>
          <t>Manutenção</t>
        </is>
      </c>
      <c r="C54" s="51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1" t="inlineStr">
        <is>
          <t>Manutenção</t>
        </is>
      </c>
      <c r="C55" s="51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1" t="inlineStr">
        <is>
          <t>Manutenção</t>
        </is>
      </c>
      <c r="C56" s="51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1" t="inlineStr">
        <is>
          <t>Retorno</t>
        </is>
      </c>
      <c r="C57" s="51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1" t="inlineStr">
        <is>
          <t>Retorno</t>
        </is>
      </c>
      <c r="C58" s="51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1" t="inlineStr">
        <is>
          <t>Retorno</t>
        </is>
      </c>
      <c r="C59" s="51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1" t="inlineStr">
        <is>
          <t>Descarte</t>
        </is>
      </c>
      <c r="C60" s="51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1" t="inlineStr">
        <is>
          <t>Descarte</t>
        </is>
      </c>
      <c r="C61" s="51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1" t="inlineStr">
        <is>
          <t>Descarte</t>
        </is>
      </c>
      <c r="C62" s="51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6" t="inlineStr">
        <is>
          <t>ID</t>
        </is>
      </c>
      <c r="C2" s="6" t="inlineStr">
        <is>
          <t>Requisito do Cliente</t>
        </is>
      </c>
      <c r="D2" s="6" t="inlineStr">
        <is>
          <t>Kano</t>
        </is>
      </c>
    </row>
    <row r="3">
      <c r="A3" s="215" t="n"/>
      <c r="B3" s="57" t="inlineStr">
        <is>
          <t>A</t>
        </is>
      </c>
      <c r="C3" s="57" t="inlineStr">
        <is>
          <t>Limitar impacto, vibração e atrito transmitidos à louça durante todo o percurso</t>
        </is>
      </c>
      <c r="D3" s="57" t="inlineStr">
        <is>
          <t>Básico</t>
        </is>
      </c>
    </row>
    <row r="4">
      <c r="A4" s="193" t="n"/>
      <c r="B4" s="57" t="inlineStr">
        <is>
          <t>B</t>
        </is>
      </c>
      <c r="C4" s="57" t="inlineStr">
        <is>
          <t>Impedir deslocamento, tombamento e queda da louça no transporte e na movimentação</t>
        </is>
      </c>
      <c r="D4" s="57" t="inlineStr">
        <is>
          <t>Básico</t>
        </is>
      </c>
    </row>
    <row r="5">
      <c r="A5" s="10" t="n"/>
      <c r="B5" s="57" t="inlineStr">
        <is>
          <t>C</t>
        </is>
      </c>
      <c r="C5" s="57" t="inlineStr">
        <is>
          <t>Acomodar as variações de louça relevantes para a operação do distribuidor</t>
        </is>
      </c>
      <c r="D5" s="57" t="inlineStr">
        <is>
          <t>Desempenho</t>
        </is>
      </c>
    </row>
    <row r="6">
      <c r="B6" s="57" t="inlineStr">
        <is>
          <t>D</t>
        </is>
      </c>
      <c r="C6" s="57" t="inlineStr">
        <is>
          <t>Permitir a verificação da integridade da louça no ato do recebimento</t>
        </is>
      </c>
      <c r="D6" s="57" t="inlineStr">
        <is>
          <t>Atrativo</t>
        </is>
      </c>
    </row>
    <row r="7">
      <c r="B7" s="57" t="inlineStr">
        <is>
          <t>E</t>
        </is>
      </c>
      <c r="C7" s="57" t="inlineStr">
        <is>
          <t>Sinalizar visualmente o uso, o fechamento e a montagem corretos</t>
        </is>
      </c>
      <c r="D7" s="57" t="inlineStr">
        <is>
          <t>Atrativo</t>
        </is>
      </c>
    </row>
    <row r="8">
      <c r="B8" s="57" t="inlineStr">
        <is>
          <t>F</t>
        </is>
      </c>
      <c r="C8" s="57" t="inlineStr">
        <is>
          <t>Não aumentar o tempo de preparação e de conferência em relação à prática atual</t>
        </is>
      </c>
      <c r="D8" s="57" t="inlineStr">
        <is>
          <t>Básico</t>
        </is>
      </c>
    </row>
    <row r="9">
      <c r="B9" s="57" t="inlineStr">
        <is>
          <t>G</t>
        </is>
      </c>
      <c r="C9" s="57" t="inlineStr">
        <is>
          <t>Permitir a movimentação por uma ou duas pessoas pelos acessos reais da obra</t>
        </is>
      </c>
      <c r="D9" s="57" t="inlineStr">
        <is>
          <t>Desempenho</t>
        </is>
      </c>
    </row>
    <row r="10">
      <c r="A10" s="193" t="n"/>
      <c r="B10" s="57" t="inlineStr">
        <is>
          <t>H</t>
        </is>
      </c>
      <c r="C10" s="57" t="inlineStr">
        <is>
          <t>Evitar esforço excessivo e posturas críticas na carga, na descarga e na movimentação</t>
        </is>
      </c>
      <c r="D10" s="57" t="inlineStr">
        <is>
          <t>Desempenho</t>
        </is>
      </c>
    </row>
    <row r="11">
      <c r="A11" s="193" t="n"/>
      <c r="B11" s="57" t="inlineStr">
        <is>
          <t>I</t>
        </is>
      </c>
      <c r="C11" s="57" t="inlineStr">
        <is>
          <t>Permitir a retirada da louça sem contato com arestas cortantes</t>
        </is>
      </c>
      <c r="D11" s="57" t="inlineStr">
        <is>
          <t>Atrativo</t>
        </is>
      </c>
    </row>
    <row r="12">
      <c r="A12" s="193" t="n"/>
      <c r="B12" s="57" t="inlineStr">
        <is>
          <t>J</t>
        </is>
      </c>
      <c r="C12" s="57" t="inlineStr">
        <is>
          <t>Ter procedimento de uso simples para serviço rotineiro, sem treinamento formal</t>
        </is>
      </c>
      <c r="D12" s="57" t="inlineStr">
        <is>
          <t>Básico</t>
        </is>
      </c>
      <c r="F12" s="14" t="n"/>
    </row>
    <row r="13">
      <c r="A13" s="193" t="n"/>
      <c r="B13" s="57" t="inlineStr">
        <is>
          <t>K</t>
        </is>
      </c>
      <c r="C13" s="57" t="inlineStr">
        <is>
          <t>Permitir manuseio e montagem sem ferramenta especial ou ajuste improvisado</t>
        </is>
      </c>
      <c r="D13" s="57" t="inlineStr">
        <is>
          <t>Básico</t>
        </is>
      </c>
    </row>
    <row r="14">
      <c r="A14" s="193" t="n"/>
      <c r="B14" s="57" t="inlineStr">
        <is>
          <t>L</t>
        </is>
      </c>
      <c r="C14" s="57" t="inlineStr">
        <is>
          <t>Ocupar pouco espaço no veículo, no estoque do distribuidor e no canteiro</t>
        </is>
      </c>
      <c r="D14" s="57" t="inlineStr">
        <is>
          <t>Desempenho</t>
        </is>
      </c>
    </row>
    <row r="15">
      <c r="A15" s="193" t="n"/>
      <c r="B15" s="57" t="inlineStr">
        <is>
          <t>M</t>
        </is>
      </c>
      <c r="C15" s="57" t="inlineStr">
        <is>
          <t>Reduzir o volume ocupado quando vazio, fora de uso ou em retorno</t>
        </is>
      </c>
      <c r="D15" s="57" t="inlineStr">
        <is>
          <t>Desempenho</t>
        </is>
      </c>
    </row>
    <row r="16">
      <c r="B16" s="57" t="inlineStr">
        <is>
          <t>N</t>
        </is>
      </c>
      <c r="C16" s="57" t="inlineStr">
        <is>
          <t>Ser compatível com o veículo, a unitização e a amarração já utilizados</t>
        </is>
      </c>
      <c r="D16" s="57" t="inlineStr">
        <is>
          <t>Básico</t>
        </is>
      </c>
    </row>
    <row r="17">
      <c r="B17" s="57" t="inlineStr">
        <is>
          <t>O</t>
        </is>
      </c>
      <c r="C17" s="57" t="inlineStr">
        <is>
          <t>Ser empilhável e estável no estoque, no veículo e no canteiro</t>
        </is>
      </c>
      <c r="D17" s="57" t="inlineStr">
        <is>
          <t>Desempenho</t>
        </is>
      </c>
    </row>
    <row r="18">
      <c r="A18" s="193" t="n"/>
      <c r="B18" s="57" t="inlineStr">
        <is>
          <t>P</t>
        </is>
      </c>
      <c r="C18" s="57" t="inlineStr">
        <is>
          <t>Manter desempenho de proteção repetível entre unidades, configurações e entregas</t>
        </is>
      </c>
      <c r="D18" s="57" t="inlineStr">
        <is>
          <t>Básico</t>
        </is>
      </c>
    </row>
    <row r="19">
      <c r="A19" s="193" t="n"/>
      <c r="B19" s="57" t="inlineStr">
        <is>
          <t>Q</t>
        </is>
      </c>
      <c r="C19" s="57" t="inlineStr">
        <is>
          <t>Permitir inspeção e bloqueio de unidades não conformes antes da expedição</t>
        </is>
      </c>
      <c r="D19" s="57" t="inlineStr">
        <is>
          <t>Desempenho</t>
        </is>
      </c>
    </row>
    <row r="20">
      <c r="B20" s="57" t="inlineStr">
        <is>
          <t>R</t>
        </is>
      </c>
      <c r="C20" s="57" t="inlineStr">
        <is>
          <t>Permitir o rastreamento de configuração, lote, entrega e retorno</t>
        </is>
      </c>
      <c r="D20" s="57" t="inlineStr">
        <is>
          <t>Atrativo</t>
        </is>
      </c>
    </row>
    <row r="21">
      <c r="B21" s="57" t="inlineStr">
        <is>
          <t>S</t>
        </is>
      </c>
      <c r="C21" s="57" t="inlineStr">
        <is>
          <t>Suportar ciclos repetidos de uso, retorno e rearmazenamento sem perder função</t>
        </is>
      </c>
      <c r="D21" s="57" t="inlineStr">
        <is>
          <t>Desempenho</t>
        </is>
      </c>
      <c r="F21" s="215" t="n"/>
    </row>
    <row r="22" s="463">
      <c r="B22" s="57" t="inlineStr">
        <is>
          <t>T</t>
        </is>
      </c>
      <c r="C22" s="57" t="inlineStr">
        <is>
          <t>Resistir às condições reais de estoque, de transporte e de canteiro</t>
        </is>
      </c>
      <c r="D22" s="57" t="inlineStr">
        <is>
          <t>Básico</t>
        </is>
      </c>
    </row>
    <row r="23">
      <c r="B23" s="57" t="inlineStr">
        <is>
          <t>U</t>
        </is>
      </c>
      <c r="C23" s="57" t="inlineStr">
        <is>
          <t>Permitir a identificação e a segregação dos materiais no descarte</t>
        </is>
      </c>
      <c r="D23" s="57" t="inlineStr">
        <is>
          <t>Atrativo</t>
        </is>
      </c>
    </row>
    <row r="24">
      <c r="B24" s="57" t="inlineStr">
        <is>
          <t>V</t>
        </is>
      </c>
      <c r="C24" s="57" t="inlineStr">
        <is>
          <t>Gerar pouco resíduo no canteiro e na operação do distribuidor</t>
        </is>
      </c>
      <c r="D24" s="57" t="inlineStr">
        <is>
          <t>Atrativo</t>
        </is>
      </c>
    </row>
    <row r="25">
      <c r="B25" s="57" t="inlineStr">
        <is>
          <t>W</t>
        </is>
      </c>
      <c r="C25" s="57" t="inlineStr">
        <is>
          <t>Ser composto por componentes padronizados e configurável por montagem final</t>
        </is>
      </c>
      <c r="D25" s="57" t="inlineStr">
        <is>
          <t>Desempenho</t>
        </is>
      </c>
    </row>
    <row r="26">
      <c r="B26" s="57" t="inlineStr">
        <is>
          <t>X</t>
        </is>
      </c>
      <c r="C26" s="57" t="inlineStr">
        <is>
          <t>Ter montagem final rápida e em poucas etapas</t>
        </is>
      </c>
      <c r="D26" s="57" t="inlineStr">
        <is>
          <t>Desempenho</t>
        </is>
      </c>
    </row>
    <row r="27">
      <c r="B27" s="57" t="inlineStr">
        <is>
          <t>Y</t>
        </is>
      </c>
      <c r="C27" s="57" t="inlineStr">
        <is>
          <t>Usar matérias-primas acessíveis e disponíveis no mercado local</t>
        </is>
      </c>
      <c r="D27" s="57" t="inlineStr">
        <is>
          <t>Básico</t>
        </is>
      </c>
    </row>
    <row r="28">
      <c r="B28" s="57" t="inlineStr">
        <is>
          <t>Z</t>
        </is>
      </c>
      <c r="C28" s="57" t="inlineStr">
        <is>
          <t>Ter custo por ciclo de uso inferior ao custo médio da avaria evitada</t>
        </is>
      </c>
      <c r="D28" s="57" t="inlineStr">
        <is>
          <t>Desempenho</t>
        </is>
      </c>
      <c r="F28" t="inlineStr">
        <is>
          <t>Classificação: Atrativo; Desempenho e Básico</t>
        </is>
      </c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2:AH48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  <col width="13" customWidth="1" style="463" min="31" max="31"/>
    <col width="13" customWidth="1" style="463" min="32" max="32"/>
    <col width="13" customWidth="1" style="463" min="33" max="33"/>
    <col width="13" customWidth="1" style="463" min="34" max="34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W</t>
        </is>
      </c>
      <c r="AD5" s="32" t="inlineStr">
        <is>
          <t>X</t>
        </is>
      </c>
      <c r="AE5" s="32" t="inlineStr">
        <is>
          <t>Y</t>
        </is>
      </c>
      <c r="AF5" s="32" t="inlineStr">
        <is>
          <t>Z</t>
        </is>
      </c>
      <c r="AG5" s="32" t="inlineStr">
        <is>
          <t>Somatório da letra</t>
        </is>
      </c>
      <c r="AH5" s="32" t="inlineStr">
        <is>
          <t>frequência</t>
        </is>
      </c>
    </row>
    <row r="6" ht="20.25" customHeight="1" s="463">
      <c r="A6" s="193" t="n"/>
      <c r="B6" s="34" t="inlineStr">
        <is>
          <t>Limitar impacto, vibração e atrito transmitidos à louça durante todo o percurso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A0</t>
        </is>
      </c>
      <c r="I6" s="38" t="inlineStr">
        <is>
          <t>A5</t>
        </is>
      </c>
      <c r="J6" s="38" t="inlineStr">
        <is>
          <t>A3</t>
        </is>
      </c>
      <c r="K6" s="38" t="inlineStr">
        <is>
          <t>A5</t>
        </is>
      </c>
      <c r="L6" s="38" t="inlineStr">
        <is>
          <t>A1</t>
        </is>
      </c>
      <c r="M6" s="38" t="inlineStr">
        <is>
          <t>A1</t>
        </is>
      </c>
      <c r="N6" s="38" t="inlineStr">
        <is>
          <t>A3</t>
        </is>
      </c>
      <c r="O6" s="38" t="inlineStr">
        <is>
          <t>A1</t>
        </is>
      </c>
      <c r="P6" s="38" t="inlineStr">
        <is>
          <t>A5</t>
        </is>
      </c>
      <c r="Q6" s="38" t="inlineStr">
        <is>
          <t>A5</t>
        </is>
      </c>
      <c r="R6" s="38" t="inlineStr">
        <is>
          <t>A3</t>
        </is>
      </c>
      <c r="S6" s="38" t="inlineStr">
        <is>
          <t>A5</t>
        </is>
      </c>
      <c r="T6" s="38" t="inlineStr">
        <is>
          <t>A3</t>
        </is>
      </c>
      <c r="U6" s="38" t="inlineStr">
        <is>
          <t>A5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A3</t>
        </is>
      </c>
      <c r="Z6" s="38" t="inlineStr">
        <is>
          <t>A3</t>
        </is>
      </c>
      <c r="AA6" s="38" t="inlineStr">
        <is>
          <t>A5</t>
        </is>
      </c>
      <c r="AB6" s="38" t="inlineStr">
        <is>
          <t>A5</t>
        </is>
      </c>
      <c r="AC6" s="38" t="inlineStr">
        <is>
          <t>A5</t>
        </is>
      </c>
      <c r="AD6" s="38" t="inlineStr">
        <is>
          <t>A5</t>
        </is>
      </c>
      <c r="AE6" s="38" t="inlineStr">
        <is>
          <t>A5</t>
        </is>
      </c>
      <c r="AF6" s="38" t="inlineStr">
        <is>
          <t>A1</t>
        </is>
      </c>
      <c r="AG6" s="38">
        <f>SUMPRODUCT(--(LEFT($G$6:$AF$31,1)=F6),IFERROR(VALUE(RIGHT($G$6:$AF$31,1)),0))</f>
        <v/>
      </c>
      <c r="AH6" s="38">
        <f>AG6/$AG$32</f>
        <v/>
      </c>
    </row>
    <row r="7">
      <c r="A7" s="193" t="n"/>
      <c r="B7" s="34" t="inlineStr">
        <is>
          <t>Impedir deslocamento, tombamento e queda da louça no transporte e na movimentação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B5</t>
        </is>
      </c>
      <c r="J7" s="38" t="inlineStr">
        <is>
          <t>B3</t>
        </is>
      </c>
      <c r="K7" s="38" t="inlineStr">
        <is>
          <t>B5</t>
        </is>
      </c>
      <c r="L7" s="38" t="inlineStr">
        <is>
          <t>B1</t>
        </is>
      </c>
      <c r="M7" s="38" t="inlineStr">
        <is>
          <t>B1</t>
        </is>
      </c>
      <c r="N7" s="38" t="inlineStr">
        <is>
          <t>B3</t>
        </is>
      </c>
      <c r="O7" s="38" t="inlineStr">
        <is>
          <t>B1</t>
        </is>
      </c>
      <c r="P7" s="38" t="inlineStr">
        <is>
          <t>B5</t>
        </is>
      </c>
      <c r="Q7" s="38" t="inlineStr">
        <is>
          <t>B5</t>
        </is>
      </c>
      <c r="R7" s="38" t="inlineStr">
        <is>
          <t>B3</t>
        </is>
      </c>
      <c r="S7" s="38" t="inlineStr">
        <is>
          <t>B5</t>
        </is>
      </c>
      <c r="T7" s="38" t="inlineStr">
        <is>
          <t>B3</t>
        </is>
      </c>
      <c r="U7" s="38" t="inlineStr">
        <is>
          <t>B5</t>
        </is>
      </c>
      <c r="V7" s="38" t="inlineStr">
        <is>
          <t>B3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B3</t>
        </is>
      </c>
      <c r="Z7" s="38" t="inlineStr">
        <is>
          <t>B3</t>
        </is>
      </c>
      <c r="AA7" s="38" t="inlineStr">
        <is>
          <t>B5</t>
        </is>
      </c>
      <c r="AB7" s="38" t="inlineStr">
        <is>
          <t>B5</t>
        </is>
      </c>
      <c r="AC7" s="38" t="inlineStr">
        <is>
          <t>B5</t>
        </is>
      </c>
      <c r="AD7" s="38" t="inlineStr">
        <is>
          <t>B5</t>
        </is>
      </c>
      <c r="AE7" s="38" t="inlineStr">
        <is>
          <t>B5</t>
        </is>
      </c>
      <c r="AF7" s="38" t="inlineStr">
        <is>
          <t>B1</t>
        </is>
      </c>
      <c r="AG7" s="38">
        <f>SUMPRODUCT(--(LEFT($G$6:$AF$31,1)=F7),IFERROR(VALUE(RIGHT($G$6:$AF$31,1)),0))</f>
        <v/>
      </c>
      <c r="AH7" s="38">
        <f>AG7/$AG$32</f>
        <v/>
      </c>
    </row>
    <row r="8">
      <c r="A8" s="193" t="n"/>
      <c r="B8" s="34" t="inlineStr">
        <is>
          <t>Acomodar as variações de louça relevantes para a operação do distribuidor</t>
        </is>
      </c>
      <c r="C8" s="32" t="inlineStr">
        <is>
          <t>C</t>
        </is>
      </c>
      <c r="D8" s="50" t="inlineStr">
        <is>
          <t>Desempenho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D1</t>
        </is>
      </c>
      <c r="K8" s="38" t="inlineStr">
        <is>
          <t>C1</t>
        </is>
      </c>
      <c r="L8" s="38" t="inlineStr">
        <is>
          <t>F3</t>
        </is>
      </c>
      <c r="M8" s="38" t="inlineStr">
        <is>
          <t>G3</t>
        </is>
      </c>
      <c r="N8" s="38" t="inlineStr">
        <is>
          <t>H1</t>
        </is>
      </c>
      <c r="O8" s="38" t="inlineStr">
        <is>
          <t>I3</t>
        </is>
      </c>
      <c r="P8" s="38" t="inlineStr">
        <is>
          <t>C0</t>
        </is>
      </c>
      <c r="Q8" s="38" t="inlineStr">
        <is>
          <t>C1</t>
        </is>
      </c>
      <c r="R8" s="38" t="inlineStr">
        <is>
          <t>L1</t>
        </is>
      </c>
      <c r="S8" s="38" t="inlineStr">
        <is>
          <t>C0</t>
        </is>
      </c>
      <c r="T8" s="38" t="inlineStr">
        <is>
          <t>N1</t>
        </is>
      </c>
      <c r="U8" s="38" t="inlineStr">
        <is>
          <t>C0</t>
        </is>
      </c>
      <c r="V8" s="38" t="inlineStr">
        <is>
          <t>P1</t>
        </is>
      </c>
      <c r="W8" s="38" t="inlineStr">
        <is>
          <t>C1</t>
        </is>
      </c>
      <c r="X8" s="38" t="inlineStr">
        <is>
          <t>C1</t>
        </is>
      </c>
      <c r="Y8" s="38" t="inlineStr">
        <is>
          <t>S1</t>
        </is>
      </c>
      <c r="Z8" s="38" t="inlineStr">
        <is>
          <t>T1</t>
        </is>
      </c>
      <c r="AA8" s="38" t="inlineStr">
        <is>
          <t>C3</t>
        </is>
      </c>
      <c r="AB8" s="38" t="inlineStr">
        <is>
          <t>C3</t>
        </is>
      </c>
      <c r="AC8" s="38" t="inlineStr">
        <is>
          <t>C1</t>
        </is>
      </c>
      <c r="AD8" s="38" t="inlineStr">
        <is>
          <t>C1</t>
        </is>
      </c>
      <c r="AE8" s="38" t="inlineStr">
        <is>
          <t>C1</t>
        </is>
      </c>
      <c r="AF8" s="38" t="inlineStr">
        <is>
          <t>Z3</t>
        </is>
      </c>
      <c r="AG8" s="38">
        <f>SUMPRODUCT(--(LEFT($G$6:$AF$31,1)=F8),IFERROR(VALUE(RIGHT($G$6:$AF$31,1)),0))</f>
        <v/>
      </c>
      <c r="AH8" s="38">
        <f>AG8/$AG$32</f>
        <v/>
      </c>
    </row>
    <row r="9">
      <c r="A9" s="193" t="n"/>
      <c r="B9" s="34" t="inlineStr">
        <is>
          <t>Permitir a verificação da integridade da louça no ato do recebimento</t>
        </is>
      </c>
      <c r="C9" s="32" t="inlineStr">
        <is>
          <t>D</t>
        </is>
      </c>
      <c r="D9" s="50" t="inlineStr">
        <is>
          <t>Atrativo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D3</t>
        </is>
      </c>
      <c r="L9" s="38" t="inlineStr">
        <is>
          <t>F1</t>
        </is>
      </c>
      <c r="M9" s="38" t="inlineStr">
        <is>
          <t>G1</t>
        </is>
      </c>
      <c r="N9" s="38" t="inlineStr">
        <is>
          <t>D0</t>
        </is>
      </c>
      <c r="O9" s="38" t="inlineStr">
        <is>
          <t>I1</t>
        </is>
      </c>
      <c r="P9" s="38" t="inlineStr">
        <is>
          <t>D1</t>
        </is>
      </c>
      <c r="Q9" s="38" t="inlineStr">
        <is>
          <t>D3</t>
        </is>
      </c>
      <c r="R9" s="38" t="inlineStr">
        <is>
          <t>D1</t>
        </is>
      </c>
      <c r="S9" s="38" t="inlineStr">
        <is>
          <t>D1</t>
        </is>
      </c>
      <c r="T9" s="38" t="inlineStr">
        <is>
          <t>D1</t>
        </is>
      </c>
      <c r="U9" s="38" t="inlineStr">
        <is>
          <t>D1</t>
        </is>
      </c>
      <c r="V9" s="38" t="inlineStr">
        <is>
          <t>D0</t>
        </is>
      </c>
      <c r="W9" s="38" t="inlineStr">
        <is>
          <t>D3</t>
        </is>
      </c>
      <c r="X9" s="38" t="inlineStr">
        <is>
          <t>D3</t>
        </is>
      </c>
      <c r="Y9" s="38" t="inlineStr">
        <is>
          <t>D0</t>
        </is>
      </c>
      <c r="Z9" s="38" t="inlineStr">
        <is>
          <t>D1</t>
        </is>
      </c>
      <c r="AA9" s="38" t="inlineStr">
        <is>
          <t>D5</t>
        </is>
      </c>
      <c r="AB9" s="38" t="inlineStr">
        <is>
          <t>D5</t>
        </is>
      </c>
      <c r="AC9" s="38" t="inlineStr">
        <is>
          <t>D3</t>
        </is>
      </c>
      <c r="AD9" s="38" t="inlineStr">
        <is>
          <t>D3</t>
        </is>
      </c>
      <c r="AE9" s="38" t="inlineStr">
        <is>
          <t>D3</t>
        </is>
      </c>
      <c r="AF9" s="38" t="inlineStr">
        <is>
          <t>Z1</t>
        </is>
      </c>
      <c r="AG9" s="38">
        <f>SUMPRODUCT(--(LEFT($G$6:$AF$31,1)=F9),IFERROR(VALUE(RIGHT($G$6:$AF$31,1)),0))</f>
        <v/>
      </c>
      <c r="AH9" s="38">
        <f>AG9/$AG$32</f>
        <v/>
      </c>
    </row>
    <row r="10">
      <c r="A10" s="193" t="n"/>
      <c r="B10" s="34" t="inlineStr">
        <is>
          <t>Sinalizar visualmente o uso, o fechamento e a montagem corretos</t>
        </is>
      </c>
      <c r="C10" s="32" t="inlineStr">
        <is>
          <t>E</t>
        </is>
      </c>
      <c r="D10" s="50" t="inlineStr">
        <is>
          <t>Atrativo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F5</t>
        </is>
      </c>
      <c r="M10" s="38" t="inlineStr">
        <is>
          <t>G5</t>
        </is>
      </c>
      <c r="N10" s="38" t="inlineStr">
        <is>
          <t>H3</t>
        </is>
      </c>
      <c r="O10" s="38" t="inlineStr">
        <is>
          <t>I5</t>
        </is>
      </c>
      <c r="P10" s="38" t="inlineStr">
        <is>
          <t>J1</t>
        </is>
      </c>
      <c r="Q10" s="38" t="inlineStr">
        <is>
          <t>K1</t>
        </is>
      </c>
      <c r="R10" s="38" t="inlineStr">
        <is>
          <t>L3</t>
        </is>
      </c>
      <c r="S10" s="38" t="inlineStr">
        <is>
          <t>M1</t>
        </is>
      </c>
      <c r="T10" s="38" t="inlineStr">
        <is>
          <t>N3</t>
        </is>
      </c>
      <c r="U10" s="38" t="inlineStr">
        <is>
          <t>O1</t>
        </is>
      </c>
      <c r="V10" s="38" t="inlineStr">
        <is>
          <t>P3</t>
        </is>
      </c>
      <c r="W10" s="38" t="inlineStr">
        <is>
          <t>E0</t>
        </is>
      </c>
      <c r="X10" s="38" t="inlineStr">
        <is>
          <t>E0</t>
        </is>
      </c>
      <c r="Y10" s="38" t="inlineStr">
        <is>
          <t>S3</t>
        </is>
      </c>
      <c r="Z10" s="38" t="inlineStr">
        <is>
          <t>T3</t>
        </is>
      </c>
      <c r="AA10" s="38" t="inlineStr">
        <is>
          <t>E1</t>
        </is>
      </c>
      <c r="AB10" s="38" t="inlineStr">
        <is>
          <t>E1</t>
        </is>
      </c>
      <c r="AC10" s="38" t="inlineStr">
        <is>
          <t>W1</t>
        </is>
      </c>
      <c r="AD10" s="38" t="inlineStr">
        <is>
          <t>X1</t>
        </is>
      </c>
      <c r="AE10" s="38" t="inlineStr">
        <is>
          <t>Y1</t>
        </is>
      </c>
      <c r="AF10" s="38" t="inlineStr">
        <is>
          <t>Z5</t>
        </is>
      </c>
      <c r="AG10" s="38">
        <f>SUMPRODUCT(--(LEFT($G$6:$AF$31,1)=F10),IFERROR(VALUE(RIGHT($G$6:$AF$31,1)),0))</f>
        <v/>
      </c>
      <c r="AH10" s="38">
        <f>AG10/$AG$32</f>
        <v/>
      </c>
    </row>
    <row r="11">
      <c r="A11" s="193" t="n"/>
      <c r="B11" s="34" t="inlineStr">
        <is>
          <t>Não aumentar o tempo de preparação e de conferência em relação à prática atual</t>
        </is>
      </c>
      <c r="C11" s="32" t="inlineStr">
        <is>
          <t>F</t>
        </is>
      </c>
      <c r="D11" s="50" t="inlineStr">
        <is>
          <t>Básico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F0</t>
        </is>
      </c>
      <c r="N11" s="38" t="inlineStr">
        <is>
          <t>F1</t>
        </is>
      </c>
      <c r="O11" s="38" t="inlineStr">
        <is>
          <t>F0</t>
        </is>
      </c>
      <c r="P11" s="38" t="inlineStr">
        <is>
          <t>F3</t>
        </is>
      </c>
      <c r="Q11" s="38" t="inlineStr">
        <is>
          <t>F3</t>
        </is>
      </c>
      <c r="R11" s="38" t="inlineStr">
        <is>
          <t>F1</t>
        </is>
      </c>
      <c r="S11" s="38" t="inlineStr">
        <is>
          <t>F3</t>
        </is>
      </c>
      <c r="T11" s="38" t="inlineStr">
        <is>
          <t>F1</t>
        </is>
      </c>
      <c r="U11" s="38" t="inlineStr">
        <is>
          <t>F3</t>
        </is>
      </c>
      <c r="V11" s="38" t="inlineStr">
        <is>
          <t>F1</t>
        </is>
      </c>
      <c r="W11" s="38" t="inlineStr">
        <is>
          <t>F5</t>
        </is>
      </c>
      <c r="X11" s="38" t="inlineStr">
        <is>
          <t>F5</t>
        </is>
      </c>
      <c r="Y11" s="38" t="inlineStr">
        <is>
          <t>F1</t>
        </is>
      </c>
      <c r="Z11" s="38" t="inlineStr">
        <is>
          <t>F1</t>
        </is>
      </c>
      <c r="AA11" s="38" t="inlineStr">
        <is>
          <t>F5</t>
        </is>
      </c>
      <c r="AB11" s="38" t="inlineStr">
        <is>
          <t>F5</t>
        </is>
      </c>
      <c r="AC11" s="38" t="inlineStr">
        <is>
          <t>F3</t>
        </is>
      </c>
      <c r="AD11" s="38" t="inlineStr">
        <is>
          <t>F3</t>
        </is>
      </c>
      <c r="AE11" s="38" t="inlineStr">
        <is>
          <t>F3</t>
        </is>
      </c>
      <c r="AF11" s="38" t="inlineStr">
        <is>
          <t>Z1</t>
        </is>
      </c>
      <c r="AG11" s="38">
        <f>SUMPRODUCT(--(LEFT($G$6:$AF$31,1)=F11),IFERROR(VALUE(RIGHT($G$6:$AF$31,1)),0))</f>
        <v/>
      </c>
      <c r="AH11" s="38">
        <f>AG11/$AG$32</f>
        <v/>
      </c>
    </row>
    <row r="12">
      <c r="A12" s="193" t="n"/>
      <c r="B12" s="34" t="inlineStr">
        <is>
          <t>Permitir a movimentação por uma ou duas pessoas pelos acessos reais da obra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G1</t>
        </is>
      </c>
      <c r="O12" s="38" t="inlineStr">
        <is>
          <t>G0</t>
        </is>
      </c>
      <c r="P12" s="38" t="inlineStr">
        <is>
          <t>G3</t>
        </is>
      </c>
      <c r="Q12" s="38" t="inlineStr">
        <is>
          <t>G3</t>
        </is>
      </c>
      <c r="R12" s="38" t="inlineStr">
        <is>
          <t>G1</t>
        </is>
      </c>
      <c r="S12" s="38" t="inlineStr">
        <is>
          <t>G3</t>
        </is>
      </c>
      <c r="T12" s="38" t="inlineStr">
        <is>
          <t>G1</t>
        </is>
      </c>
      <c r="U12" s="38" t="inlineStr">
        <is>
          <t>G3</t>
        </is>
      </c>
      <c r="V12" s="38" t="inlineStr">
        <is>
          <t>G1</t>
        </is>
      </c>
      <c r="W12" s="38" t="inlineStr">
        <is>
          <t>G5</t>
        </is>
      </c>
      <c r="X12" s="38" t="inlineStr">
        <is>
          <t>G5</t>
        </is>
      </c>
      <c r="Y12" s="38" t="inlineStr">
        <is>
          <t>G1</t>
        </is>
      </c>
      <c r="Z12" s="38" t="inlineStr">
        <is>
          <t>G1</t>
        </is>
      </c>
      <c r="AA12" s="38" t="inlineStr">
        <is>
          <t>G5</t>
        </is>
      </c>
      <c r="AB12" s="38" t="inlineStr">
        <is>
          <t>G5</t>
        </is>
      </c>
      <c r="AC12" s="38" t="inlineStr">
        <is>
          <t>G3</t>
        </is>
      </c>
      <c r="AD12" s="38" t="inlineStr">
        <is>
          <t>G3</t>
        </is>
      </c>
      <c r="AE12" s="38" t="inlineStr">
        <is>
          <t>G3</t>
        </is>
      </c>
      <c r="AF12" s="38" t="inlineStr">
        <is>
          <t>Z1</t>
        </is>
      </c>
      <c r="AG12" s="38">
        <f>SUMPRODUCT(--(LEFT($G$6:$AF$31,1)=F12),IFERROR(VALUE(RIGHT($G$6:$AF$31,1)),0))</f>
        <v/>
      </c>
      <c r="AH12" s="38">
        <f>AG12/$AG$32</f>
        <v/>
      </c>
    </row>
    <row r="13">
      <c r="A13" s="193" t="n"/>
      <c r="B13" s="34" t="inlineStr">
        <is>
          <t>Evitar esforço excessivo e posturas críticas na carga, na descarga e na movimentação</t>
        </is>
      </c>
      <c r="C13" s="32" t="inlineStr">
        <is>
          <t>H</t>
        </is>
      </c>
      <c r="D13" s="215" t="inlineStr">
        <is>
          <t>Desempenho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I1</t>
        </is>
      </c>
      <c r="P13" s="38" t="inlineStr">
        <is>
          <t>H1</t>
        </is>
      </c>
      <c r="Q13" s="38" t="inlineStr">
        <is>
          <t>H3</t>
        </is>
      </c>
      <c r="R13" s="38" t="inlineStr">
        <is>
          <t>H1</t>
        </is>
      </c>
      <c r="S13" s="38" t="inlineStr">
        <is>
          <t>H1</t>
        </is>
      </c>
      <c r="T13" s="38" t="inlineStr">
        <is>
          <t>H1</t>
        </is>
      </c>
      <c r="U13" s="38" t="inlineStr">
        <is>
          <t>H1</t>
        </is>
      </c>
      <c r="V13" s="38" t="inlineStr">
        <is>
          <t>H0</t>
        </is>
      </c>
      <c r="W13" s="38" t="inlineStr">
        <is>
          <t>H3</t>
        </is>
      </c>
      <c r="X13" s="38" t="inlineStr">
        <is>
          <t>H3</t>
        </is>
      </c>
      <c r="Y13" s="38" t="inlineStr">
        <is>
          <t>H0</t>
        </is>
      </c>
      <c r="Z13" s="38" t="inlineStr">
        <is>
          <t>H1</t>
        </is>
      </c>
      <c r="AA13" s="38" t="inlineStr">
        <is>
          <t>H5</t>
        </is>
      </c>
      <c r="AB13" s="38" t="inlineStr">
        <is>
          <t>H5</t>
        </is>
      </c>
      <c r="AC13" s="38" t="inlineStr">
        <is>
          <t>H3</t>
        </is>
      </c>
      <c r="AD13" s="38" t="inlineStr">
        <is>
          <t>H3</t>
        </is>
      </c>
      <c r="AE13" s="38" t="inlineStr">
        <is>
          <t>H3</t>
        </is>
      </c>
      <c r="AF13" s="38" t="inlineStr">
        <is>
          <t>Z1</t>
        </is>
      </c>
      <c r="AG13" s="38">
        <f>SUMPRODUCT(--(LEFT($G$6:$AF$31,1)=F13),IFERROR(VALUE(RIGHT($G$6:$AF$31,1)),0))</f>
        <v/>
      </c>
      <c r="AH13" s="38">
        <f>AG13/$AG$32</f>
        <v/>
      </c>
    </row>
    <row r="14">
      <c r="A14" s="193" t="n"/>
      <c r="B14" s="34" t="inlineStr">
        <is>
          <t>Permitir a retirada da louça sem contato com arestas cortantes</t>
        </is>
      </c>
      <c r="C14" s="32" t="inlineStr">
        <is>
          <t>I</t>
        </is>
      </c>
      <c r="D14" s="215" t="inlineStr">
        <is>
          <t>Atrativo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I3</t>
        </is>
      </c>
      <c r="Q14" s="38" t="inlineStr">
        <is>
          <t>I3</t>
        </is>
      </c>
      <c r="R14" s="38" t="inlineStr">
        <is>
          <t>I1</t>
        </is>
      </c>
      <c r="S14" s="38" t="inlineStr">
        <is>
          <t>I3</t>
        </is>
      </c>
      <c r="T14" s="38" t="inlineStr">
        <is>
          <t>I1</t>
        </is>
      </c>
      <c r="U14" s="38" t="inlineStr">
        <is>
          <t>I3</t>
        </is>
      </c>
      <c r="V14" s="38" t="inlineStr">
        <is>
          <t>I1</t>
        </is>
      </c>
      <c r="W14" s="38" t="inlineStr">
        <is>
          <t>I5</t>
        </is>
      </c>
      <c r="X14" s="38" t="inlineStr">
        <is>
          <t>I5</t>
        </is>
      </c>
      <c r="Y14" s="38" t="inlineStr">
        <is>
          <t>I1</t>
        </is>
      </c>
      <c r="Z14" s="38" t="inlineStr">
        <is>
          <t>I1</t>
        </is>
      </c>
      <c r="AA14" s="38" t="inlineStr">
        <is>
          <t>I5</t>
        </is>
      </c>
      <c r="AB14" s="38" t="inlineStr">
        <is>
          <t>I5</t>
        </is>
      </c>
      <c r="AC14" s="38" t="inlineStr">
        <is>
          <t>I3</t>
        </is>
      </c>
      <c r="AD14" s="38" t="inlineStr">
        <is>
          <t>I3</t>
        </is>
      </c>
      <c r="AE14" s="38" t="inlineStr">
        <is>
          <t>I3</t>
        </is>
      </c>
      <c r="AF14" s="38" t="inlineStr">
        <is>
          <t>Z1</t>
        </is>
      </c>
      <c r="AG14" s="38">
        <f>SUMPRODUCT(--(LEFT($G$6:$AF$31,1)=F14),IFERROR(VALUE(RIGHT($G$6:$AF$31,1)),0))</f>
        <v/>
      </c>
      <c r="AH14" s="38">
        <f>AG14/$AG$32</f>
        <v/>
      </c>
    </row>
    <row r="15">
      <c r="A15" s="193" t="n"/>
      <c r="B15" s="34" t="inlineStr">
        <is>
          <t>Ter procedimento de uso simples para serviço rotineiro, sem treinamento formal</t>
        </is>
      </c>
      <c r="C15" s="32" t="inlineStr">
        <is>
          <t>J</t>
        </is>
      </c>
      <c r="D15" s="215" t="inlineStr">
        <is>
          <t>Básico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J1</t>
        </is>
      </c>
      <c r="R15" s="38" t="inlineStr">
        <is>
          <t>L1</t>
        </is>
      </c>
      <c r="S15" s="38" t="inlineStr">
        <is>
          <t>J0</t>
        </is>
      </c>
      <c r="T15" s="38" t="inlineStr">
        <is>
          <t>N1</t>
        </is>
      </c>
      <c r="U15" s="38" t="inlineStr">
        <is>
          <t>J0</t>
        </is>
      </c>
      <c r="V15" s="38" t="inlineStr">
        <is>
          <t>P1</t>
        </is>
      </c>
      <c r="W15" s="38" t="inlineStr">
        <is>
          <t>J1</t>
        </is>
      </c>
      <c r="X15" s="38" t="inlineStr">
        <is>
          <t>J1</t>
        </is>
      </c>
      <c r="Y15" s="38" t="inlineStr">
        <is>
          <t>S1</t>
        </is>
      </c>
      <c r="Z15" s="38" t="inlineStr">
        <is>
          <t>T1</t>
        </is>
      </c>
      <c r="AA15" s="38" t="inlineStr">
        <is>
          <t>J3</t>
        </is>
      </c>
      <c r="AB15" s="38" t="inlineStr">
        <is>
          <t>J3</t>
        </is>
      </c>
      <c r="AC15" s="38" t="inlineStr">
        <is>
          <t>J1</t>
        </is>
      </c>
      <c r="AD15" s="38" t="inlineStr">
        <is>
          <t>J1</t>
        </is>
      </c>
      <c r="AE15" s="38" t="inlineStr">
        <is>
          <t>J1</t>
        </is>
      </c>
      <c r="AF15" s="38" t="inlineStr">
        <is>
          <t>Z3</t>
        </is>
      </c>
      <c r="AG15" s="38">
        <f>SUMPRODUCT(--(LEFT($G$6:$AF$31,1)=F15),IFERROR(VALUE(RIGHT($G$6:$AF$31,1)),0))</f>
        <v/>
      </c>
      <c r="AH15" s="38">
        <f>AG15/$AG$32</f>
        <v/>
      </c>
    </row>
    <row r="16">
      <c r="B16" s="34" t="inlineStr">
        <is>
          <t>Permitir manuseio e montagem sem ferramenta especial ou ajuste improvisado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L1</t>
        </is>
      </c>
      <c r="S16" s="38" t="inlineStr">
        <is>
          <t>M1</t>
        </is>
      </c>
      <c r="T16" s="38" t="inlineStr">
        <is>
          <t>N1</t>
        </is>
      </c>
      <c r="U16" s="38" t="inlineStr">
        <is>
          <t>O1</t>
        </is>
      </c>
      <c r="V16" s="38" t="inlineStr">
        <is>
          <t>P3</t>
        </is>
      </c>
      <c r="W16" s="38" t="inlineStr">
        <is>
          <t>K1</t>
        </is>
      </c>
      <c r="X16" s="38" t="inlineStr">
        <is>
          <t>K1</t>
        </is>
      </c>
      <c r="Y16" s="38" t="inlineStr">
        <is>
          <t>S3</t>
        </is>
      </c>
      <c r="Z16" s="38" t="inlineStr">
        <is>
          <t>T1</t>
        </is>
      </c>
      <c r="AA16" s="38" t="inlineStr">
        <is>
          <t>K1</t>
        </is>
      </c>
      <c r="AB16" s="38" t="inlineStr">
        <is>
          <t>K1</t>
        </is>
      </c>
      <c r="AC16" s="38" t="inlineStr">
        <is>
          <t>K0</t>
        </is>
      </c>
      <c r="AD16" s="38" t="inlineStr">
        <is>
          <t>K0</t>
        </is>
      </c>
      <c r="AE16" s="38" t="inlineStr">
        <is>
          <t>K0</t>
        </is>
      </c>
      <c r="AF16" s="38" t="inlineStr">
        <is>
          <t>Z5</t>
        </is>
      </c>
      <c r="AG16" s="38">
        <f>SUMPRODUCT(--(LEFT($G$6:$AF$31,1)=F16),IFERROR(VALUE(RIGHT($G$6:$AF$31,1)),0))</f>
        <v/>
      </c>
      <c r="AH16" s="38">
        <f>AG16/$AG$32</f>
        <v/>
      </c>
    </row>
    <row r="17">
      <c r="A17" s="26" t="n"/>
      <c r="B17" s="34" t="inlineStr">
        <is>
          <t>Ocupar pouco espaço no veículo, no estoque do distribuidor e no canteiro</t>
        </is>
      </c>
      <c r="C17" s="32" t="inlineStr">
        <is>
          <t>L</t>
        </is>
      </c>
      <c r="D17" s="215" t="inlineStr">
        <is>
          <t>Desempenho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L0</t>
        </is>
      </c>
      <c r="U17" s="38" t="inlineStr">
        <is>
          <t>L1</t>
        </is>
      </c>
      <c r="V17" s="38" t="inlineStr">
        <is>
          <t>P1</t>
        </is>
      </c>
      <c r="W17" s="38" t="inlineStr">
        <is>
          <t>L3</t>
        </is>
      </c>
      <c r="X17" s="38" t="inlineStr">
        <is>
          <t>L3</t>
        </is>
      </c>
      <c r="Y17" s="38" t="inlineStr">
        <is>
          <t>S1</t>
        </is>
      </c>
      <c r="Z17" s="38" t="inlineStr">
        <is>
          <t>L0</t>
        </is>
      </c>
      <c r="AA17" s="38" t="inlineStr">
        <is>
          <t>L3</t>
        </is>
      </c>
      <c r="AB17" s="38" t="inlineStr">
        <is>
          <t>L3</t>
        </is>
      </c>
      <c r="AC17" s="38" t="inlineStr">
        <is>
          <t>L1</t>
        </is>
      </c>
      <c r="AD17" s="38" t="inlineStr">
        <is>
          <t>L1</t>
        </is>
      </c>
      <c r="AE17" s="38" t="inlineStr">
        <is>
          <t>L1</t>
        </is>
      </c>
      <c r="AF17" s="38" t="inlineStr">
        <is>
          <t>Z3</t>
        </is>
      </c>
      <c r="AG17" s="38">
        <f>SUMPRODUCT(--(LEFT($G$6:$AF$31,1)=F17),IFERROR(VALUE(RIGHT($G$6:$AF$31,1)),0))</f>
        <v/>
      </c>
      <c r="AH17" s="38">
        <f>AG17/$AG$32</f>
        <v/>
      </c>
    </row>
    <row r="18">
      <c r="A18" s="26" t="n"/>
      <c r="B18" s="34" t="inlineStr">
        <is>
          <t>Reduzir o volume ocupado quando vazio, fora de uso ou em retorno</t>
        </is>
      </c>
      <c r="C18" s="32" t="inlineStr">
        <is>
          <t>M</t>
        </is>
      </c>
      <c r="D18" s="215" t="inlineStr">
        <is>
          <t>Desempenho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N1</t>
        </is>
      </c>
      <c r="U18" s="38" t="inlineStr">
        <is>
          <t>M0</t>
        </is>
      </c>
      <c r="V18" s="38" t="inlineStr">
        <is>
          <t>P1</t>
        </is>
      </c>
      <c r="W18" s="38" t="inlineStr">
        <is>
          <t>M1</t>
        </is>
      </c>
      <c r="X18" s="38" t="inlineStr">
        <is>
          <t>M1</t>
        </is>
      </c>
      <c r="Y18" s="38" t="inlineStr">
        <is>
          <t>S1</t>
        </is>
      </c>
      <c r="Z18" s="38" t="inlineStr">
        <is>
          <t>T1</t>
        </is>
      </c>
      <c r="AA18" s="38" t="inlineStr">
        <is>
          <t>M3</t>
        </is>
      </c>
      <c r="AB18" s="38" t="inlineStr">
        <is>
          <t>M3</t>
        </is>
      </c>
      <c r="AC18" s="38" t="inlineStr">
        <is>
          <t>M1</t>
        </is>
      </c>
      <c r="AD18" s="38" t="inlineStr">
        <is>
          <t>M1</t>
        </is>
      </c>
      <c r="AE18" s="38" t="inlineStr">
        <is>
          <t>M1</t>
        </is>
      </c>
      <c r="AF18" s="38" t="inlineStr">
        <is>
          <t>Z3</t>
        </is>
      </c>
      <c r="AG18" s="38">
        <f>SUMPRODUCT(--(LEFT($G$6:$AF$31,1)=F18),IFERROR(VALUE(RIGHT($G$6:$AF$31,1)),0))</f>
        <v/>
      </c>
      <c r="AH18" s="38">
        <f>AG18/$AG$32</f>
        <v/>
      </c>
    </row>
    <row r="19">
      <c r="A19" s="26" t="n"/>
      <c r="B19" s="34" t="inlineStr">
        <is>
          <t>Ser compatível com o veículo, a unitização e a amarração já utilizados</t>
        </is>
      </c>
      <c r="C19" s="32" t="inlineStr">
        <is>
          <t>N</t>
        </is>
      </c>
      <c r="D19" s="215" t="inlineStr">
        <is>
          <t>Básico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N1</t>
        </is>
      </c>
      <c r="V19" s="38" t="inlineStr">
        <is>
          <t>P1</t>
        </is>
      </c>
      <c r="W19" s="38" t="inlineStr">
        <is>
          <t>N3</t>
        </is>
      </c>
      <c r="X19" s="38" t="inlineStr">
        <is>
          <t>N3</t>
        </is>
      </c>
      <c r="Y19" s="38" t="inlineStr">
        <is>
          <t>S1</t>
        </is>
      </c>
      <c r="Z19" s="38" t="inlineStr">
        <is>
          <t>N0</t>
        </is>
      </c>
      <c r="AA19" s="38" t="inlineStr">
        <is>
          <t>N3</t>
        </is>
      </c>
      <c r="AB19" s="38" t="inlineStr">
        <is>
          <t>N3</t>
        </is>
      </c>
      <c r="AC19" s="38" t="inlineStr">
        <is>
          <t>N1</t>
        </is>
      </c>
      <c r="AD19" s="38" t="inlineStr">
        <is>
          <t>N1</t>
        </is>
      </c>
      <c r="AE19" s="38" t="inlineStr">
        <is>
          <t>N1</t>
        </is>
      </c>
      <c r="AF19" s="38" t="inlineStr">
        <is>
          <t>Z3</t>
        </is>
      </c>
      <c r="AG19" s="38">
        <f>SUMPRODUCT(--(LEFT($G$6:$AF$31,1)=F19),IFERROR(VALUE(RIGHT($G$6:$AF$31,1)),0))</f>
        <v/>
      </c>
      <c r="AH19" s="38">
        <f>AG19/$AG$32</f>
        <v/>
      </c>
    </row>
    <row r="20">
      <c r="A20" s="26" t="n"/>
      <c r="B20" s="34" t="inlineStr">
        <is>
          <t>Ser empilhável e estável no estoque, no veículo e no canteiro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P1</t>
        </is>
      </c>
      <c r="W20" s="38" t="inlineStr">
        <is>
          <t>O1</t>
        </is>
      </c>
      <c r="X20" s="38" t="inlineStr">
        <is>
          <t>O1</t>
        </is>
      </c>
      <c r="Y20" s="38" t="inlineStr">
        <is>
          <t>S1</t>
        </is>
      </c>
      <c r="Z20" s="38" t="inlineStr">
        <is>
          <t>T1</t>
        </is>
      </c>
      <c r="AA20" s="38" t="inlineStr">
        <is>
          <t>O3</t>
        </is>
      </c>
      <c r="AB20" s="38" t="inlineStr">
        <is>
          <t>O3</t>
        </is>
      </c>
      <c r="AC20" s="38" t="inlineStr">
        <is>
          <t>O1</t>
        </is>
      </c>
      <c r="AD20" s="38" t="inlineStr">
        <is>
          <t>O1</t>
        </is>
      </c>
      <c r="AE20" s="38" t="inlineStr">
        <is>
          <t>O1</t>
        </is>
      </c>
      <c r="AF20" s="38" t="inlineStr">
        <is>
          <t>Z3</t>
        </is>
      </c>
      <c r="AG20" s="38">
        <f>SUMPRODUCT(--(LEFT($G$6:$AF$31,1)=F20),IFERROR(VALUE(RIGHT($G$6:$AF$31,1)),0))</f>
        <v/>
      </c>
      <c r="AH20" s="38">
        <f>AG20/$AG$32</f>
        <v/>
      </c>
    </row>
    <row r="21">
      <c r="A21" s="26" t="n"/>
      <c r="B21" s="34" t="inlineStr">
        <is>
          <t>Manter desempenho de proteção repetível entre unidades, configurações e entregas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P3</t>
        </is>
      </c>
      <c r="X21" s="38" t="inlineStr">
        <is>
          <t>P3</t>
        </is>
      </c>
      <c r="Y21" s="38" t="inlineStr">
        <is>
          <t>P0</t>
        </is>
      </c>
      <c r="Z21" s="38" t="inlineStr">
        <is>
          <t>P1</t>
        </is>
      </c>
      <c r="AA21" s="38" t="inlineStr">
        <is>
          <t>P5</t>
        </is>
      </c>
      <c r="AB21" s="38" t="inlineStr">
        <is>
          <t>P5</t>
        </is>
      </c>
      <c r="AC21" s="38" t="inlineStr">
        <is>
          <t>P3</t>
        </is>
      </c>
      <c r="AD21" s="38" t="inlineStr">
        <is>
          <t>P3</t>
        </is>
      </c>
      <c r="AE21" s="38" t="inlineStr">
        <is>
          <t>P3</t>
        </is>
      </c>
      <c r="AF21" s="38" t="inlineStr">
        <is>
          <t>Z1</t>
        </is>
      </c>
      <c r="AG21" s="38">
        <f>SUMPRODUCT(--(LEFT($G$6:$AF$31,1)=F21),IFERROR(VALUE(RIGHT($G$6:$AF$31,1)),0))</f>
        <v/>
      </c>
      <c r="AH21" s="38">
        <f>AG21/$AG$32</f>
        <v/>
      </c>
    </row>
    <row r="22">
      <c r="A22" s="26" t="n"/>
      <c r="B22" s="34" t="inlineStr">
        <is>
          <t>Permitir inspeção e bloqueio de unidades não conformes antes da expedição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Q0</t>
        </is>
      </c>
      <c r="Y22" s="38" t="inlineStr">
        <is>
          <t>S3</t>
        </is>
      </c>
      <c r="Z22" s="38" t="inlineStr">
        <is>
          <t>T3</t>
        </is>
      </c>
      <c r="AA22" s="38" t="inlineStr">
        <is>
          <t>Q1</t>
        </is>
      </c>
      <c r="AB22" s="38" t="inlineStr">
        <is>
          <t>Q1</t>
        </is>
      </c>
      <c r="AC22" s="38" t="inlineStr">
        <is>
          <t>W1</t>
        </is>
      </c>
      <c r="AD22" s="38" t="inlineStr">
        <is>
          <t>X1</t>
        </is>
      </c>
      <c r="AE22" s="38" t="inlineStr">
        <is>
          <t>Y1</t>
        </is>
      </c>
      <c r="AF22" s="38" t="inlineStr">
        <is>
          <t>Z5</t>
        </is>
      </c>
      <c r="AG22" s="38">
        <f>SUMPRODUCT(--(LEFT($G$6:$AF$31,1)=F22),IFERROR(VALUE(RIGHT($G$6:$AF$31,1)),0))</f>
        <v/>
      </c>
      <c r="AH22" s="38">
        <f>AG22/$AG$32</f>
        <v/>
      </c>
    </row>
    <row r="23">
      <c r="A23" s="26" t="n"/>
      <c r="B23" s="34" t="inlineStr">
        <is>
          <t>Permitir o rastreamento de configuração, lote, entrega e retorno</t>
        </is>
      </c>
      <c r="C23" s="32" t="inlineStr">
        <is>
          <t>R</t>
        </is>
      </c>
      <c r="D23" s="215" t="inlineStr">
        <is>
          <t>Atrativo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S3</t>
        </is>
      </c>
      <c r="Z23" s="38" t="inlineStr">
        <is>
          <t>T3</t>
        </is>
      </c>
      <c r="AA23" s="38" t="inlineStr">
        <is>
          <t>R1</t>
        </is>
      </c>
      <c r="AB23" s="38" t="inlineStr">
        <is>
          <t>R1</t>
        </is>
      </c>
      <c r="AC23" s="38" t="inlineStr">
        <is>
          <t>W1</t>
        </is>
      </c>
      <c r="AD23" s="38" t="inlineStr">
        <is>
          <t>X1</t>
        </is>
      </c>
      <c r="AE23" s="38" t="inlineStr">
        <is>
          <t>Y1</t>
        </is>
      </c>
      <c r="AF23" s="38" t="inlineStr">
        <is>
          <t>Z5</t>
        </is>
      </c>
      <c r="AG23" s="38">
        <f>SUMPRODUCT(--(LEFT($G$6:$AF$31,1)=F23),IFERROR(VALUE(RIGHT($G$6:$AF$31,1)),0))</f>
        <v/>
      </c>
      <c r="AH23" s="38">
        <f>AG23/$AG$32</f>
        <v/>
      </c>
    </row>
    <row r="24">
      <c r="A24" s="26" t="n"/>
      <c r="B24" s="34" t="inlineStr">
        <is>
          <t>Suportar ciclos repetidos de uso, retorno e rearmazenamento sem perder função</t>
        </is>
      </c>
      <c r="C24" s="32" t="inlineStr">
        <is>
          <t>S</t>
        </is>
      </c>
      <c r="D24" s="215" t="inlineStr">
        <is>
          <t>Desempenho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S1</t>
        </is>
      </c>
      <c r="AA24" s="38" t="inlineStr">
        <is>
          <t>S5</t>
        </is>
      </c>
      <c r="AB24" s="38" t="inlineStr">
        <is>
          <t>S5</t>
        </is>
      </c>
      <c r="AC24" s="38" t="inlineStr">
        <is>
          <t>S3</t>
        </is>
      </c>
      <c r="AD24" s="38" t="inlineStr">
        <is>
          <t>S3</t>
        </is>
      </c>
      <c r="AE24" s="38" t="inlineStr">
        <is>
          <t>S3</t>
        </is>
      </c>
      <c r="AF24" s="38" t="inlineStr">
        <is>
          <t>Z1</t>
        </is>
      </c>
      <c r="AG24" s="38">
        <f>SUMPRODUCT(--(LEFT($G$6:$AF$31,1)=F24),IFERROR(VALUE(RIGHT($G$6:$AF$31,1)),0))</f>
        <v/>
      </c>
      <c r="AH24" s="38">
        <f>AG24/$AG$32</f>
        <v/>
      </c>
    </row>
    <row r="25" s="463">
      <c r="B25" s="34" t="inlineStr">
        <is>
          <t>Resistir às condições reais de estoque, de transporte e de canteiro</t>
        </is>
      </c>
      <c r="C25" s="32" t="inlineStr">
        <is>
          <t>T</t>
        </is>
      </c>
      <c r="D25" s="215" t="inlineStr">
        <is>
          <t>Básico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T3</t>
        </is>
      </c>
      <c r="AB25" s="38" t="inlineStr">
        <is>
          <t>T3</t>
        </is>
      </c>
      <c r="AC25" s="38" t="inlineStr">
        <is>
          <t>T1</t>
        </is>
      </c>
      <c r="AD25" s="38" t="inlineStr">
        <is>
          <t>T1</t>
        </is>
      </c>
      <c r="AE25" s="38" t="inlineStr">
        <is>
          <t>T1</t>
        </is>
      </c>
      <c r="AF25" s="38" t="inlineStr">
        <is>
          <t>Z3</t>
        </is>
      </c>
      <c r="AG25" s="38">
        <f>SUMPRODUCT(--(LEFT($G$6:$AF$31,1)=F25),IFERROR(VALUE(RIGHT($G$6:$AF$31,1)),0))</f>
        <v/>
      </c>
      <c r="AH25" s="38">
        <f>AG25/$AG$32</f>
        <v/>
      </c>
    </row>
    <row r="26">
      <c r="B26" s="34" t="inlineStr">
        <is>
          <t>Permitir a identificação e a segregação dos materiais no descarte</t>
        </is>
      </c>
      <c r="C26" s="32" t="inlineStr">
        <is>
          <t>U</t>
        </is>
      </c>
      <c r="D26" s="215" t="inlineStr">
        <is>
          <t>Atrativo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U0</t>
        </is>
      </c>
      <c r="AC26" s="38" t="inlineStr">
        <is>
          <t>W1</t>
        </is>
      </c>
      <c r="AD26" s="38" t="inlineStr">
        <is>
          <t>X1</t>
        </is>
      </c>
      <c r="AE26" s="38" t="inlineStr">
        <is>
          <t>Y1</t>
        </is>
      </c>
      <c r="AF26" s="38" t="inlineStr">
        <is>
          <t>Z5</t>
        </is>
      </c>
      <c r="AG26" s="38">
        <f>SUMPRODUCT(--(LEFT($G$6:$AF$31,1)=F26),IFERROR(VALUE(RIGHT($G$6:$AF$31,1)),0))</f>
        <v/>
      </c>
      <c r="AH26" s="38">
        <f>AG26/$AG$32</f>
        <v/>
      </c>
    </row>
    <row r="27">
      <c r="B27" s="34" t="inlineStr">
        <is>
          <t>Gerar pouco resíduo no canteiro e na operação do distribuidor</t>
        </is>
      </c>
      <c r="C27" s="32" t="inlineStr">
        <is>
          <t>V</t>
        </is>
      </c>
      <c r="D27" s="215" t="inlineStr">
        <is>
          <t>Atrativo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 t="inlineStr">
        <is>
          <t>W1</t>
        </is>
      </c>
      <c r="AD27" s="38" t="inlineStr">
        <is>
          <t>X1</t>
        </is>
      </c>
      <c r="AE27" s="38" t="inlineStr">
        <is>
          <t>Y1</t>
        </is>
      </c>
      <c r="AF27" s="38" t="inlineStr">
        <is>
          <t>Z5</t>
        </is>
      </c>
      <c r="AG27" s="38">
        <f>SUMPRODUCT(--(LEFT($G$6:$AF$31,1)=F27),IFERROR(VALUE(RIGHT($G$6:$AF$31,1)),0))</f>
        <v/>
      </c>
      <c r="AH27" s="38">
        <f>AG27/$AG$32</f>
        <v/>
      </c>
    </row>
    <row r="28">
      <c r="B28" s="34" t="inlineStr">
        <is>
          <t>Ser composto por componentes padronizados e configurável por montagem final</t>
        </is>
      </c>
      <c r="C28" s="32" t="inlineStr">
        <is>
          <t>W</t>
        </is>
      </c>
      <c r="D28" s="215" t="inlineStr">
        <is>
          <t>Desempenho</t>
        </is>
      </c>
      <c r="E28" s="60" t="n"/>
      <c r="F28" s="96" t="inlineStr">
        <is>
          <t>W</t>
        </is>
      </c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inlineStr">
        <is>
          <t>X</t>
        </is>
      </c>
      <c r="AD28" s="38" t="inlineStr">
        <is>
          <t>W0</t>
        </is>
      </c>
      <c r="AE28" s="38" t="inlineStr">
        <is>
          <t>W0</t>
        </is>
      </c>
      <c r="AF28" s="38" t="inlineStr">
        <is>
          <t>Z5</t>
        </is>
      </c>
      <c r="AG28" s="38">
        <f>SUMPRODUCT(--(LEFT($G$6:$AF$31,1)=F28),IFERROR(VALUE(RIGHT($G$6:$AF$31,1)),0))</f>
        <v/>
      </c>
      <c r="AH28" s="38">
        <f>AG28/$AG$32</f>
        <v/>
      </c>
    </row>
    <row r="29">
      <c r="B29" s="34" t="inlineStr">
        <is>
          <t>Ter montagem final rápida e em poucas etapas</t>
        </is>
      </c>
      <c r="C29" s="32" t="inlineStr">
        <is>
          <t>X</t>
        </is>
      </c>
      <c r="D29" s="215" t="inlineStr">
        <is>
          <t>Desempenho</t>
        </is>
      </c>
      <c r="E29" s="60" t="n"/>
      <c r="F29" s="96" t="inlineStr">
        <is>
          <t>X</t>
        </is>
      </c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inlineStr">
        <is>
          <t>X</t>
        </is>
      </c>
      <c r="AE29" s="38" t="inlineStr">
        <is>
          <t>X0</t>
        </is>
      </c>
      <c r="AF29" s="38" t="inlineStr">
        <is>
          <t>Z5</t>
        </is>
      </c>
      <c r="AG29" s="38">
        <f>SUMPRODUCT(--(LEFT($G$6:$AF$31,1)=F29),IFERROR(VALUE(RIGHT($G$6:$AF$31,1)),0))</f>
        <v/>
      </c>
      <c r="AH29" s="38">
        <f>AG29/$AG$32</f>
        <v/>
      </c>
    </row>
    <row r="30">
      <c r="B30" s="34" t="inlineStr">
        <is>
          <t>Usar matérias-primas acessíveis e disponíveis no mercado local</t>
        </is>
      </c>
      <c r="C30" s="32" t="inlineStr">
        <is>
          <t>Y</t>
        </is>
      </c>
      <c r="D30" s="215" t="inlineStr">
        <is>
          <t>Básico</t>
        </is>
      </c>
      <c r="E30" s="60" t="n"/>
      <c r="F30" s="96" t="inlineStr">
        <is>
          <t>Y</t>
        </is>
      </c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inlineStr">
        <is>
          <t>X</t>
        </is>
      </c>
      <c r="AF30" s="38" t="inlineStr">
        <is>
          <t>Z5</t>
        </is>
      </c>
      <c r="AG30" s="38">
        <f>SUMPRODUCT(--(LEFT($G$6:$AF$31,1)=F30),IFERROR(VALUE(RIGHT($G$6:$AF$31,1)),0))</f>
        <v/>
      </c>
      <c r="AH30" s="38">
        <f>AG30/$AG$32</f>
        <v/>
      </c>
    </row>
    <row r="31">
      <c r="A31" s="104" t="n"/>
      <c r="B31" s="34" t="inlineStr">
        <is>
          <t>Ter custo por ciclo de uso inferior ao custo médio da avaria evitada</t>
        </is>
      </c>
      <c r="C31" s="32" t="inlineStr">
        <is>
          <t>Z</t>
        </is>
      </c>
      <c r="D31" s="215" t="inlineStr">
        <is>
          <t>Desempenho</t>
        </is>
      </c>
      <c r="E31" s="60" t="n"/>
      <c r="F31" s="96" t="inlineStr">
        <is>
          <t>Z</t>
        </is>
      </c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inlineStr">
        <is>
          <t>X</t>
        </is>
      </c>
      <c r="AG31" s="38">
        <f>SUMPRODUCT(--(LEFT($G$6:$AF$31,1)=F31),IFERROR(VALUE(RIGHT($G$6:$AF$31,1)),0))</f>
        <v/>
      </c>
      <c r="AH31" s="38">
        <f>AG31/$AG$32</f>
        <v/>
      </c>
    </row>
    <row r="32">
      <c r="A32" s="104" t="n"/>
      <c r="B32" s="34" t="n"/>
      <c r="C32" s="32" t="n"/>
      <c r="D32" s="215" t="n"/>
      <c r="E32" s="60" t="n"/>
      <c r="F32" s="96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inlineStr">
        <is>
          <t>Total</t>
        </is>
      </c>
      <c r="AG32" s="38">
        <f>SUM(AG6:AG31)</f>
        <v/>
      </c>
      <c r="AH32" s="38" t="n"/>
    </row>
    <row r="33">
      <c r="A33" s="104" t="n"/>
      <c r="B33" s="105" t="n"/>
      <c r="C33" s="106" t="n"/>
      <c r="D33" s="106" t="n"/>
    </row>
    <row r="34">
      <c r="A34" s="104" t="n"/>
      <c r="B34" s="105" t="inlineStr">
        <is>
          <t>Um requisito é considerado muito mais importante do que o outro (VALOR 5)</t>
        </is>
      </c>
      <c r="C34" s="106" t="n"/>
      <c r="D34" s="106" t="n"/>
    </row>
    <row r="35">
      <c r="A35" s="104" t="n"/>
      <c r="B35" s="105" t="inlineStr">
        <is>
          <t>Um requisito é considerado mais importante do que o outro (VALOR 3)</t>
        </is>
      </c>
      <c r="C35" s="106" t="n"/>
      <c r="D35" s="106" t="n"/>
    </row>
    <row r="36">
      <c r="A36" s="104" t="n"/>
      <c r="B36" s="105" t="inlineStr">
        <is>
          <t>Um requisito é considerado pouco mais importante do que o outro (VALOR 1)</t>
        </is>
      </c>
      <c r="C36" s="106" t="n"/>
      <c r="D36" s="106" t="n"/>
    </row>
    <row r="37">
      <c r="A37" s="104" t="n"/>
      <c r="B37" s="105" t="inlineStr">
        <is>
          <t>Os requisitos são considerados de igual importância (VALOR 0)</t>
        </is>
      </c>
      <c r="C37" s="106" t="n"/>
      <c r="D37" s="106" t="n"/>
    </row>
    <row r="38">
      <c r="A38" s="104" t="n"/>
      <c r="B38" s="105" t="n"/>
      <c r="C38" s="106" t="n"/>
      <c r="D38" s="106" t="n"/>
    </row>
    <row r="39">
      <c r="A39" s="104" t="n"/>
      <c r="B39" s="105" t="inlineStr">
        <is>
          <t>Primeiro passe elaborado pela equipe a partir da proximidade de cada requisito ao problema definido. A comparação pareada deve ser revalidada com o distribuidor antes do QFD.</t>
        </is>
      </c>
      <c r="C39" s="106" t="n"/>
      <c r="D39" s="106" t="n"/>
    </row>
    <row r="40">
      <c r="A40" s="104" t="n"/>
      <c r="B40" s="105" t="n"/>
      <c r="C40" s="106" t="n"/>
      <c r="D40" s="106" t="n"/>
    </row>
    <row r="41">
      <c r="A41" s="104" t="n"/>
      <c r="B41" s="105" t="n"/>
      <c r="C41" s="106" t="n"/>
      <c r="D41" s="106" t="n"/>
    </row>
    <row r="42">
      <c r="A42" s="104" t="n"/>
      <c r="B42" s="105" t="n"/>
      <c r="C42" s="106" t="n"/>
      <c r="D42" s="106" t="n"/>
    </row>
    <row r="43">
      <c r="A43" s="104" t="n"/>
      <c r="B43" s="105" t="n"/>
      <c r="C43" s="106" t="n"/>
      <c r="D43" s="106" t="n"/>
    </row>
    <row r="44">
      <c r="A44" s="104" t="n"/>
      <c r="B44" s="105" t="n"/>
      <c r="C44" s="106" t="n"/>
      <c r="D44" s="106" t="n"/>
      <c r="E44" s="60" t="n"/>
    </row>
    <row r="45">
      <c r="A45" s="104" t="n"/>
      <c r="B45" s="105" t="n"/>
      <c r="C45" s="106" t="n"/>
      <c r="D45" s="106" t="n"/>
    </row>
    <row r="46">
      <c r="A46" s="104" t="n"/>
      <c r="B46" s="105" t="n"/>
      <c r="C46" s="106" t="n"/>
      <c r="D46" s="106" t="n"/>
    </row>
    <row r="47">
      <c r="A47" s="104" t="n"/>
      <c r="B47" s="104" t="n"/>
      <c r="C47" s="104" t="n"/>
      <c r="D47" s="104" t="n"/>
    </row>
    <row r="48">
      <c r="A48" s="104" t="n"/>
      <c r="B48" s="104" t="n"/>
      <c r="C48" s="104" t="n"/>
      <c r="D48" s="104" t="n"/>
    </row>
  </sheetData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1002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</row>
    <row r="2">
      <c r="A2" s="108" t="inlineStr">
        <is>
          <t>Limitar impacto, vibração e atrito transmitidos à louça durante todo o percurso</t>
        </is>
      </c>
      <c r="B2" s="32" t="inlineStr">
        <is>
          <t>A</t>
        </is>
      </c>
      <c r="C2" s="43" t="n">
        <v>90</v>
      </c>
      <c r="D2" s="152">
        <f>C2/$C$28</f>
        <v/>
      </c>
      <c r="E2" s="109">
        <f>D2</f>
        <v/>
      </c>
      <c r="F2" s="43">
        <f>IF(C2=0,0,MAX(1,ROUND(C2/MAX($C$2:$C$27)*5,0)))</f>
        <v/>
      </c>
    </row>
    <row r="3">
      <c r="A3" s="108" t="inlineStr">
        <is>
          <t>Impedir deslocamento, tombamento e queda da louça no transporte e na movimentação</t>
        </is>
      </c>
      <c r="B3" s="32" t="inlineStr">
        <is>
          <t>B</t>
        </is>
      </c>
      <c r="C3" s="43" t="n">
        <v>90</v>
      </c>
      <c r="D3" s="152">
        <f>C3/$C$28</f>
        <v/>
      </c>
      <c r="E3" s="109">
        <f>D3+E2</f>
        <v/>
      </c>
      <c r="F3" s="43">
        <f>IF(C3=0,0,MAX(1,ROUND(C3/MAX($C$2:$C$27)*5,0)))</f>
        <v/>
      </c>
    </row>
    <row r="4">
      <c r="A4" s="108" t="inlineStr">
        <is>
          <t>Ter custo por ciclo de uso inferior ao custo médio da avaria evitada</t>
        </is>
      </c>
      <c r="B4" s="32" t="inlineStr">
        <is>
          <t>Z</t>
        </is>
      </c>
      <c r="C4" s="43" t="n">
        <v>73</v>
      </c>
      <c r="D4" s="152">
        <f>C4/$C$28</f>
        <v/>
      </c>
      <c r="E4" s="109">
        <f>D4+E3</f>
        <v/>
      </c>
      <c r="F4" s="43">
        <f>IF(C4=0,0,MAX(1,ROUND(C4/MAX($C$2:$C$27)*5,0)))</f>
        <v/>
      </c>
    </row>
    <row r="5">
      <c r="A5" s="108" t="inlineStr">
        <is>
          <t>Não aumentar o tempo de preparação e de conferência em relação à prática atual</t>
        </is>
      </c>
      <c r="B5" s="32" t="inlineStr">
        <is>
          <t>F</t>
        </is>
      </c>
      <c r="C5" s="43" t="n">
        <v>56</v>
      </c>
      <c r="D5" s="152">
        <f>C5/$C$28</f>
        <v/>
      </c>
      <c r="E5" s="109">
        <f>D5+E4</f>
        <v/>
      </c>
      <c r="F5" s="43">
        <f>IF(C5=0,0,MAX(1,ROUND(C5/MAX($C$2:$C$27)*5,0)))</f>
        <v/>
      </c>
    </row>
    <row r="6">
      <c r="A6" s="108" t="inlineStr">
        <is>
          <t>Permitir a movimentação por uma ou duas pessoas pelos acessos reais da obra</t>
        </is>
      </c>
      <c r="B6" s="32" t="inlineStr">
        <is>
          <t>G</t>
        </is>
      </c>
      <c r="C6" s="43" t="n">
        <v>56</v>
      </c>
      <c r="D6" s="152">
        <f>C6/$C$28</f>
        <v/>
      </c>
      <c r="E6" s="109">
        <f>D6+E5</f>
        <v/>
      </c>
      <c r="F6" s="43">
        <f>IF(C6=0,0,MAX(1,ROUND(C6/MAX($C$2:$C$27)*5,0)))</f>
        <v/>
      </c>
    </row>
    <row r="7">
      <c r="A7" s="108" t="inlineStr">
        <is>
          <t>Permitir a retirada da louça sem contato com arestas cortantes</t>
        </is>
      </c>
      <c r="B7" s="32" t="inlineStr">
        <is>
          <t>I</t>
        </is>
      </c>
      <c r="C7" s="43" t="n">
        <v>56</v>
      </c>
      <c r="D7" s="152">
        <f>C7/$C$28</f>
        <v/>
      </c>
      <c r="E7" s="109">
        <f>D7+E6</f>
        <v/>
      </c>
      <c r="F7" s="43">
        <f>IF(C7=0,0,MAX(1,ROUND(C7/MAX($C$2:$C$27)*5,0)))</f>
        <v/>
      </c>
    </row>
    <row r="8">
      <c r="A8" s="108" t="inlineStr">
        <is>
          <t>Permitir a verificação da integridade da louça no ato do recebimento</t>
        </is>
      </c>
      <c r="B8" s="32" t="inlineStr">
        <is>
          <t>D</t>
        </is>
      </c>
      <c r="C8" s="43" t="n">
        <v>38</v>
      </c>
      <c r="D8" s="152">
        <f>C8/$C$28</f>
        <v/>
      </c>
      <c r="E8" s="109">
        <f>D8+E7</f>
        <v/>
      </c>
      <c r="F8" s="43">
        <f>IF(C8=0,0,MAX(1,ROUND(C8/MAX($C$2:$C$27)*5,0)))</f>
        <v/>
      </c>
    </row>
    <row r="9">
      <c r="A9" s="108" t="inlineStr">
        <is>
          <t>Evitar esforço excessivo e posturas críticas na carga, na descarga e na movimentação</t>
        </is>
      </c>
      <c r="B9" s="32" t="inlineStr">
        <is>
          <t>H</t>
        </is>
      </c>
      <c r="C9" s="43" t="n">
        <v>38</v>
      </c>
      <c r="D9" s="152">
        <f>C9/$C$28</f>
        <v/>
      </c>
      <c r="E9" s="109">
        <f>D9+E8</f>
        <v/>
      </c>
      <c r="F9" s="43">
        <f>IF(C9=0,0,MAX(1,ROUND(C9/MAX($C$2:$C$27)*5,0)))</f>
        <v/>
      </c>
    </row>
    <row r="10">
      <c r="A10" s="108" t="inlineStr">
        <is>
          <t>Manter desempenho de proteção repetível entre unidades, configurações e entregas</t>
        </is>
      </c>
      <c r="B10" s="32" t="inlineStr">
        <is>
          <t>P</t>
        </is>
      </c>
      <c r="C10" s="43" t="n">
        <v>38</v>
      </c>
      <c r="D10" s="152">
        <f>C10/$C$28</f>
        <v/>
      </c>
      <c r="E10" s="109">
        <f>D10+E9</f>
        <v/>
      </c>
      <c r="F10" s="43">
        <f>IF(C10=0,0,MAX(1,ROUND(C10/MAX($C$2:$C$27)*5,0)))</f>
        <v/>
      </c>
    </row>
    <row r="11">
      <c r="A11" s="108" t="inlineStr">
        <is>
          <t>Suportar ciclos repetidos de uso, retorno e rearmazenamento sem perder função</t>
        </is>
      </c>
      <c r="B11" s="32" t="inlineStr">
        <is>
          <t>S</t>
        </is>
      </c>
      <c r="C11" s="43" t="n">
        <v>38</v>
      </c>
      <c r="D11" s="152">
        <f>C11/$C$28</f>
        <v/>
      </c>
      <c r="E11" s="109">
        <f>D11+E10</f>
        <v/>
      </c>
      <c r="F11" s="43">
        <f>IF(C11=0,0,MAX(1,ROUND(C11/MAX($C$2:$C$27)*5,0)))</f>
        <v/>
      </c>
    </row>
    <row r="12">
      <c r="A12" s="108" t="inlineStr">
        <is>
          <t>Ocupar pouco espaço no veículo, no estoque do distribuidor e no canteiro</t>
        </is>
      </c>
      <c r="B12" s="32" t="inlineStr">
        <is>
          <t>L</t>
        </is>
      </c>
      <c r="C12" s="43" t="n">
        <v>23</v>
      </c>
      <c r="D12" s="152">
        <f>C12/$C$28</f>
        <v/>
      </c>
      <c r="E12" s="109">
        <f>D12+E11</f>
        <v/>
      </c>
      <c r="F12" s="43">
        <f>IF(C12=0,0,MAX(1,ROUND(C12/MAX($C$2:$C$27)*5,0)))</f>
        <v/>
      </c>
    </row>
    <row r="13">
      <c r="A13" s="108" t="inlineStr">
        <is>
          <t>Ser compatível com o veículo, a unitização e a amarração já utilizados</t>
        </is>
      </c>
      <c r="B13" s="32" t="inlineStr">
        <is>
          <t>N</t>
        </is>
      </c>
      <c r="C13" s="43" t="n">
        <v>23</v>
      </c>
      <c r="D13" s="152">
        <f>C13/$C$28</f>
        <v/>
      </c>
      <c r="E13" s="109">
        <f>D13+E12</f>
        <v/>
      </c>
      <c r="F13" s="229">
        <f>IF(C13=0,0,MAX(1,ROUND(C13/MAX($C$2:$C$27)*5,0)))</f>
        <v/>
      </c>
    </row>
    <row r="14">
      <c r="A14" s="108" t="inlineStr">
        <is>
          <t>Resistir às condições reais de estoque, de transporte e de canteiro</t>
        </is>
      </c>
      <c r="B14" s="32" t="inlineStr">
        <is>
          <t>T</t>
        </is>
      </c>
      <c r="C14" s="43" t="n">
        <v>23</v>
      </c>
      <c r="D14" s="152">
        <f>C14/$C$28</f>
        <v/>
      </c>
      <c r="E14" s="109">
        <f>D14+E13</f>
        <v/>
      </c>
      <c r="F14" s="43">
        <f>IF(C14=0,0,MAX(1,ROUND(C14/MAX($C$2:$C$27)*5,0)))</f>
        <v/>
      </c>
    </row>
    <row r="15">
      <c r="A15" s="108" t="inlineStr">
        <is>
          <t>Acomodar as variações de louça relevantes para a operação do distribuidor</t>
        </is>
      </c>
      <c r="B15" s="32" t="inlineStr">
        <is>
          <t>C</t>
        </is>
      </c>
      <c r="C15" s="43" t="n">
        <v>13</v>
      </c>
      <c r="D15" s="152">
        <f>C15/$C$28</f>
        <v/>
      </c>
      <c r="E15" s="109">
        <f>D15+E14</f>
        <v/>
      </c>
      <c r="F15" s="229">
        <f>IF(C15=0,0,MAX(1,ROUND(C15/MAX($C$2:$C$27)*5,0)))</f>
        <v/>
      </c>
    </row>
    <row r="16">
      <c r="A16" s="108" t="inlineStr">
        <is>
          <t>Ter procedimento de uso simples para serviço rotineiro, sem treinamento formal</t>
        </is>
      </c>
      <c r="B16" s="32" t="inlineStr">
        <is>
          <t>J</t>
        </is>
      </c>
      <c r="C16" s="43" t="n">
        <v>13</v>
      </c>
      <c r="D16" s="152">
        <f>C16/$C$28</f>
        <v/>
      </c>
      <c r="E16" s="109">
        <f>D16+E15</f>
        <v/>
      </c>
      <c r="F16" s="43">
        <f>IF(C16=0,0,MAX(1,ROUND(C16/MAX($C$2:$C$27)*5,0)))</f>
        <v/>
      </c>
    </row>
    <row r="17">
      <c r="A17" s="108" t="inlineStr">
        <is>
          <t>Reduzir o volume ocupado quando vazio, fora de uso ou em retorno</t>
        </is>
      </c>
      <c r="B17" s="32" t="inlineStr">
        <is>
          <t>M</t>
        </is>
      </c>
      <c r="C17" s="43" t="n">
        <v>13</v>
      </c>
      <c r="D17" s="152">
        <f>C17/$C$28</f>
        <v/>
      </c>
      <c r="E17" s="109">
        <f>D17+E16</f>
        <v/>
      </c>
      <c r="F17" s="43">
        <f>IF(C17=0,0,MAX(1,ROUND(C17/MAX($C$2:$C$27)*5,0)))</f>
        <v/>
      </c>
    </row>
    <row r="18">
      <c r="A18" s="108" t="inlineStr">
        <is>
          <t>Ser empilhável e estável no estoque, no veículo e no canteiro</t>
        </is>
      </c>
      <c r="B18" s="32" t="inlineStr">
        <is>
          <t>O</t>
        </is>
      </c>
      <c r="C18" s="43" t="n">
        <v>13</v>
      </c>
      <c r="D18" s="152">
        <f>C18/$C$28</f>
        <v/>
      </c>
      <c r="E18" s="109">
        <f>D18+E17</f>
        <v/>
      </c>
      <c r="F18" s="229">
        <f>IF(C18=0,0,MAX(1,ROUND(C18/MAX($C$2:$C$27)*5,0)))</f>
        <v/>
      </c>
    </row>
    <row r="19">
      <c r="A19" s="108" t="inlineStr">
        <is>
          <t>Permitir manuseio e montagem sem ferramenta especial ou ajuste improvisado</t>
        </is>
      </c>
      <c r="B19" s="32" t="inlineStr">
        <is>
          <t>K</t>
        </is>
      </c>
      <c r="C19" s="43" t="n">
        <v>5</v>
      </c>
      <c r="D19" s="152">
        <f>C19/$C$28</f>
        <v/>
      </c>
      <c r="E19" s="109">
        <f>D19+E18</f>
        <v/>
      </c>
      <c r="F19" s="229">
        <f>IF(C19=0,0,MAX(1,ROUND(C19/MAX($C$2:$C$27)*5,0)))</f>
        <v/>
      </c>
    </row>
    <row r="20">
      <c r="A20" s="108" t="inlineStr">
        <is>
          <t>Ser composto por componentes padronizados e configurável por montagem final</t>
        </is>
      </c>
      <c r="B20" s="32" t="inlineStr">
        <is>
          <t>W</t>
        </is>
      </c>
      <c r="C20" s="43" t="n">
        <v>5</v>
      </c>
      <c r="D20" s="152">
        <f>C20/$C$28</f>
        <v/>
      </c>
      <c r="E20" s="109">
        <f>D20+E19</f>
        <v/>
      </c>
      <c r="F20" s="43">
        <f>IF(C20=0,0,MAX(1,ROUND(C20/MAX($C$2:$C$27)*5,0)))</f>
        <v/>
      </c>
    </row>
    <row r="21" s="463">
      <c r="A21" s="108" t="inlineStr">
        <is>
          <t>Ter montagem final rápida e em poucas etapas</t>
        </is>
      </c>
      <c r="B21" s="32" t="inlineStr">
        <is>
          <t>X</t>
        </is>
      </c>
      <c r="C21" s="43" t="n">
        <v>5</v>
      </c>
      <c r="D21" s="152">
        <f>C21/$C$28</f>
        <v/>
      </c>
      <c r="E21" s="109">
        <f>D21+E20</f>
        <v/>
      </c>
      <c r="F21" s="229">
        <f>IF(C21=0,0,MAX(1,ROUND(C21/MAX($C$2:$C$27)*5,0)))</f>
        <v/>
      </c>
    </row>
    <row r="22">
      <c r="A22" s="108" t="inlineStr">
        <is>
          <t>Usar matérias-primas acessíveis e disponíveis no mercado local</t>
        </is>
      </c>
      <c r="B22" s="32" t="inlineStr">
        <is>
          <t>Y</t>
        </is>
      </c>
      <c r="C22" s="43" t="n">
        <v>5</v>
      </c>
      <c r="D22" s="152">
        <f>C22/$C$28</f>
        <v/>
      </c>
      <c r="E22" s="109">
        <f>D22+E21</f>
        <v/>
      </c>
      <c r="F22" s="229">
        <f>IF(C22=0,0,MAX(1,ROUND(C22/MAX($C$2:$C$27)*5,0)))</f>
        <v/>
      </c>
    </row>
    <row r="23">
      <c r="A23" s="108" t="inlineStr">
        <is>
          <t>Sinalizar visualmente o uso, o fechamento e a montagem corretos</t>
        </is>
      </c>
      <c r="B23" s="32" t="inlineStr">
        <is>
          <t>E</t>
        </is>
      </c>
      <c r="C23" s="43" t="n">
        <v>2</v>
      </c>
      <c r="D23" s="152">
        <f>C23/$C$28</f>
        <v/>
      </c>
      <c r="E23" s="109">
        <f>D23+E22</f>
        <v/>
      </c>
      <c r="F23" s="229">
        <f>IF(C23=0,0,MAX(1,ROUND(C23/MAX($C$2:$C$27)*5,0)))</f>
        <v/>
      </c>
    </row>
    <row r="24">
      <c r="A24" s="108" t="inlineStr">
        <is>
          <t>Permitir inspeção e bloqueio de unidades não conformes antes da expedição</t>
        </is>
      </c>
      <c r="B24" s="32" t="inlineStr">
        <is>
          <t>Q</t>
        </is>
      </c>
      <c r="C24" s="43" t="n">
        <v>2</v>
      </c>
      <c r="D24" s="152">
        <f>C24/$C$28</f>
        <v/>
      </c>
      <c r="E24" s="109">
        <f>D24+E23</f>
        <v/>
      </c>
      <c r="F24" s="229">
        <f>IF(C24=0,0,MAX(1,ROUND(C24/MAX($C$2:$C$27)*5,0)))</f>
        <v/>
      </c>
    </row>
    <row r="25">
      <c r="A25" s="108" t="inlineStr">
        <is>
          <t>Permitir o rastreamento de configuração, lote, entrega e retorno</t>
        </is>
      </c>
      <c r="B25" s="32" t="inlineStr">
        <is>
          <t>R</t>
        </is>
      </c>
      <c r="C25" s="43" t="n">
        <v>2</v>
      </c>
      <c r="D25" s="152">
        <f>C25/$C$28</f>
        <v/>
      </c>
      <c r="E25" s="109">
        <f>D25+E24</f>
        <v/>
      </c>
      <c r="F25" s="229">
        <f>IF(C25=0,0,MAX(1,ROUND(C25/MAX($C$2:$C$27)*5,0)))</f>
        <v/>
      </c>
    </row>
    <row r="26">
      <c r="A26" s="108" t="inlineStr">
        <is>
          <t>Permitir a identificação e a segregação dos materiais no descarte</t>
        </is>
      </c>
      <c r="B26" s="32" t="inlineStr">
        <is>
          <t>U</t>
        </is>
      </c>
      <c r="C26" s="43" t="n">
        <v>0</v>
      </c>
      <c r="D26" s="152">
        <f>C26/$C$28</f>
        <v/>
      </c>
      <c r="E26" s="109">
        <f>D26+E25</f>
        <v/>
      </c>
      <c r="F26" s="229">
        <f>IF(C26=0,0,MAX(1,ROUND(C26/MAX($C$2:$C$27)*5,0)))</f>
        <v/>
      </c>
    </row>
    <row r="27">
      <c r="A27" s="108" t="inlineStr">
        <is>
          <t>Gerar pouco resíduo no canteiro e na operação do distribuidor</t>
        </is>
      </c>
      <c r="B27" s="32" t="inlineStr">
        <is>
          <t>V</t>
        </is>
      </c>
      <c r="C27" s="43" t="n">
        <v>0</v>
      </c>
      <c r="D27" s="152">
        <f>C27/$C$28</f>
        <v/>
      </c>
      <c r="E27" s="109">
        <f>D27+E26</f>
        <v/>
      </c>
      <c r="F27" s="229">
        <f>IF(C27=0,0,MAX(1,ROUND(C27/MAX($C$2:$C$27)*5,0)))</f>
        <v/>
      </c>
    </row>
    <row r="28">
      <c r="A28" s="108" t="n"/>
      <c r="B28" s="32" t="n"/>
      <c r="C28" s="43">
        <f>SUM(C2:C27)</f>
        <v/>
      </c>
      <c r="D28" s="152">
        <f>SUM(D2:D27)</f>
        <v/>
      </c>
      <c r="E28" s="109" t="n"/>
      <c r="F28" s="229" t="n"/>
    </row>
    <row r="29">
      <c r="D29" s="125" t="n"/>
    </row>
    <row r="30">
      <c r="D30" s="125" t="n"/>
    </row>
    <row r="31">
      <c r="D31" s="125" t="n"/>
    </row>
    <row r="32">
      <c r="B32" t="inlineStr">
        <is>
          <t>O grau de importância foi definido a partir da normalização da pontuação obtida na Matriz de Mudge, utilizando escala de 0 a 5. O requisito com maior pontuação recebeu grau 5, e os demais foram proporcionalmente ajustados em relação a ele.</t>
        </is>
      </c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3.63" customWidth="1" style="463" min="1" max="1"/>
    <col width="51.63" customWidth="1" style="463" min="2" max="2"/>
    <col width="2.88" customWidth="1" style="463" min="3" max="3"/>
    <col width="11.25" customWidth="1" style="463" min="4" max="4"/>
    <col width="14.25" customWidth="1" style="463" min="5" max="5"/>
    <col width="24.5" customWidth="1" style="463" min="6" max="10"/>
  </cols>
  <sheetData>
    <row r="1">
      <c r="B1" s="64" t="n"/>
    </row>
    <row r="2">
      <c r="A2" s="65" t="n"/>
      <c r="B2" s="66" t="inlineStr">
        <is>
          <t>Benchmarking</t>
        </is>
      </c>
    </row>
    <row r="3">
      <c r="B3" s="64" t="n"/>
    </row>
    <row r="4">
      <c r="B4" s="68" t="n"/>
      <c r="C4" s="69" t="n"/>
      <c r="D4" s="69" t="n"/>
      <c r="E4" s="69" t="n"/>
      <c r="F4" s="70" t="n"/>
      <c r="G4" s="70" t="n"/>
      <c r="H4" s="71" t="n"/>
      <c r="I4" s="71" t="n"/>
      <c r="J4" s="71" t="n"/>
      <c r="K4" s="92" t="n"/>
    </row>
    <row r="5">
      <c r="B5" s="68" t="n"/>
      <c r="C5" s="69" t="n"/>
      <c r="D5" s="69" t="n"/>
      <c r="E5" s="69" t="n"/>
      <c r="F5" s="74" t="n"/>
      <c r="G5" s="74" t="n"/>
      <c r="H5" s="75" t="n"/>
      <c r="I5" s="75" t="n"/>
      <c r="J5" s="75" t="n"/>
      <c r="K5" s="92" t="n"/>
    </row>
    <row r="6">
      <c r="B6" s="68" t="n"/>
      <c r="C6" s="69" t="n"/>
      <c r="D6" s="69" t="n"/>
      <c r="E6" s="69" t="n"/>
      <c r="F6" s="77" t="n"/>
      <c r="G6" s="77" t="n"/>
      <c r="H6" s="77" t="n"/>
      <c r="I6" s="77" t="n"/>
      <c r="J6" s="78" t="n"/>
      <c r="K6" s="92" t="n"/>
    </row>
    <row r="7">
      <c r="B7" s="68" t="n"/>
      <c r="C7" s="69" t="n"/>
      <c r="D7" s="69" t="n"/>
      <c r="E7" s="69" t="n"/>
      <c r="F7" s="79" t="n"/>
      <c r="G7" s="79" t="n"/>
      <c r="H7" s="79" t="n"/>
      <c r="I7" s="79" t="n"/>
      <c r="J7" s="79" t="n"/>
      <c r="K7" s="92" t="n"/>
    </row>
    <row r="8">
      <c r="B8" s="68" t="n"/>
      <c r="C8" s="69" t="n"/>
      <c r="D8" s="69" t="n"/>
      <c r="E8" s="80" t="n"/>
      <c r="F8" s="79" t="n"/>
      <c r="G8" s="69" t="n"/>
      <c r="H8" s="79" t="n"/>
      <c r="I8" s="79" t="n"/>
      <c r="J8" s="79" t="n"/>
      <c r="K8" s="92" t="n"/>
    </row>
    <row r="9">
      <c r="B9" s="68" t="n"/>
      <c r="C9" s="69" t="n"/>
      <c r="D9" s="69" t="n"/>
      <c r="E9" s="69" t="n"/>
      <c r="F9" s="79" t="n"/>
      <c r="G9" s="79" t="n"/>
      <c r="H9" s="79" t="n"/>
      <c r="I9" s="79" t="n"/>
      <c r="J9" s="79" t="n"/>
      <c r="K9" s="92" t="n"/>
    </row>
    <row r="10">
      <c r="A10" s="136" t="n"/>
      <c r="B10" s="70" t="n"/>
      <c r="C10" s="70" t="n"/>
      <c r="D10" s="70" t="n"/>
      <c r="E10" s="70" t="n"/>
      <c r="F10" s="83" t="n"/>
      <c r="G10" s="83" t="n"/>
      <c r="H10" s="83" t="n"/>
      <c r="I10" s="69" t="n"/>
      <c r="J10" s="83" t="n"/>
      <c r="K10" s="92" t="n"/>
    </row>
    <row r="11">
      <c r="A11" s="94" t="n"/>
      <c r="B11" s="57" t="n"/>
      <c r="C11" s="43" t="n"/>
      <c r="D11" s="86" t="n"/>
      <c r="E11" s="43" t="n"/>
      <c r="F11" s="154" t="n"/>
      <c r="G11" s="154" t="n"/>
      <c r="H11" s="154" t="n"/>
      <c r="I11" s="154" t="n"/>
      <c r="J11" s="88" t="n"/>
      <c r="K11" s="92" t="n"/>
    </row>
    <row r="12">
      <c r="A12" s="94" t="n"/>
      <c r="B12" s="57" t="n"/>
      <c r="C12" s="43" t="n"/>
      <c r="D12" s="86" t="n"/>
      <c r="E12" s="43" t="n"/>
      <c r="F12" s="154" t="n"/>
      <c r="G12" s="154" t="n"/>
      <c r="H12" s="154" t="n"/>
      <c r="I12" s="154" t="n"/>
      <c r="J12" s="154" t="n"/>
      <c r="K12" s="92" t="n"/>
    </row>
    <row r="13">
      <c r="A13" s="89" t="n"/>
      <c r="B13" s="57" t="n"/>
      <c r="C13" s="43" t="n"/>
      <c r="D13" s="86" t="n"/>
      <c r="E13" s="43" t="n"/>
      <c r="F13" s="154" t="n"/>
      <c r="G13" s="154" t="n"/>
      <c r="H13" s="154" t="n"/>
      <c r="I13" s="154" t="n"/>
      <c r="J13" s="154" t="n"/>
      <c r="K13" s="92" t="n"/>
    </row>
    <row r="14">
      <c r="A14" s="94" t="n"/>
      <c r="B14" s="57" t="n"/>
      <c r="C14" s="43" t="n"/>
      <c r="D14" s="86" t="n"/>
      <c r="E14" s="43" t="n"/>
      <c r="F14" s="154" t="n"/>
      <c r="G14" s="154" t="n"/>
      <c r="H14" s="154" t="n"/>
      <c r="I14" s="154" t="n"/>
      <c r="J14" s="154" t="n"/>
      <c r="K14" s="92" t="n"/>
    </row>
    <row r="15">
      <c r="A15" s="94" t="n"/>
      <c r="B15" s="57" t="n"/>
      <c r="C15" s="43" t="n"/>
      <c r="D15" s="86" t="n"/>
      <c r="E15" s="43" t="n"/>
      <c r="F15" s="154" t="n"/>
      <c r="G15" s="154" t="n"/>
      <c r="H15" s="154" t="n"/>
      <c r="I15" s="154" t="n"/>
      <c r="J15" s="154" t="n"/>
      <c r="K15" s="92" t="n"/>
    </row>
    <row r="16">
      <c r="A16" s="94" t="n"/>
      <c r="B16" s="57" t="n"/>
      <c r="C16" s="43" t="n"/>
      <c r="D16" s="86" t="n"/>
      <c r="E16" s="43" t="n"/>
      <c r="F16" s="154" t="n"/>
      <c r="G16" s="154" t="n"/>
      <c r="H16" s="154" t="n"/>
      <c r="I16" s="154" t="n"/>
      <c r="J16" s="154" t="n"/>
      <c r="K16" s="92" t="n"/>
    </row>
    <row r="17">
      <c r="A17" s="94" t="n"/>
      <c r="B17" s="57" t="n"/>
      <c r="C17" s="43" t="n"/>
      <c r="D17" s="86" t="n"/>
      <c r="E17" s="43" t="n"/>
      <c r="F17" s="154" t="n"/>
      <c r="G17" s="154" t="n"/>
      <c r="H17" s="154" t="n"/>
      <c r="I17" s="154" t="n"/>
      <c r="J17" s="154" t="n"/>
      <c r="K17" s="92" t="n"/>
    </row>
    <row r="18">
      <c r="A18" s="94" t="n"/>
      <c r="B18" s="57" t="n"/>
      <c r="C18" s="43" t="n"/>
      <c r="D18" s="86" t="n"/>
      <c r="E18" s="43" t="n"/>
      <c r="F18" s="154" t="n"/>
      <c r="G18" s="154" t="n"/>
      <c r="H18" s="154" t="n"/>
      <c r="I18" s="154" t="n"/>
      <c r="J18" s="154" t="n"/>
      <c r="K18" s="92" t="n"/>
    </row>
    <row r="19">
      <c r="A19" s="89" t="n"/>
      <c r="B19" s="57" t="n"/>
      <c r="C19" s="43" t="n"/>
      <c r="D19" s="86" t="n"/>
      <c r="E19" s="43" t="n"/>
      <c r="F19" s="154" t="n"/>
      <c r="G19" s="154" t="n"/>
      <c r="H19" s="154" t="n"/>
      <c r="I19" s="154" t="n"/>
      <c r="J19" s="154" t="n"/>
      <c r="K19" s="92" t="n"/>
    </row>
    <row r="20">
      <c r="A20" s="94" t="n"/>
      <c r="B20" s="57" t="n"/>
      <c r="C20" s="43" t="n"/>
      <c r="D20" s="86" t="n"/>
      <c r="E20" s="43" t="n"/>
      <c r="F20" s="154" t="n"/>
      <c r="G20" s="154" t="n"/>
      <c r="H20" s="154" t="n"/>
      <c r="I20" s="154" t="n"/>
      <c r="J20" s="154" t="n"/>
      <c r="K20" s="92" t="n"/>
    </row>
    <row r="21">
      <c r="A21" s="94" t="n"/>
      <c r="B21" s="57" t="n"/>
      <c r="C21" s="43" t="n"/>
      <c r="D21" s="86" t="n"/>
      <c r="E21" s="43" t="n"/>
      <c r="F21" s="154" t="n"/>
      <c r="G21" s="154" t="n"/>
      <c r="H21" s="154" t="n"/>
      <c r="I21" s="154" t="n"/>
      <c r="J21" s="154" t="n"/>
      <c r="K21" s="92" t="n"/>
    </row>
    <row r="22">
      <c r="A22" s="94" t="n"/>
      <c r="B22" s="57" t="n"/>
      <c r="C22" s="43" t="n"/>
      <c r="D22" s="43" t="n"/>
      <c r="E22" s="43" t="n"/>
      <c r="F22" s="154" t="n"/>
      <c r="G22" s="154" t="n"/>
      <c r="H22" s="154" t="n"/>
      <c r="I22" s="154" t="n"/>
      <c r="J22" s="154" t="n"/>
      <c r="K22" s="92" t="n"/>
    </row>
    <row r="23">
      <c r="A23" s="94" t="n"/>
      <c r="B23" s="57" t="n"/>
      <c r="C23" s="43" t="n"/>
      <c r="D23" s="86" t="n"/>
      <c r="E23" s="43" t="n"/>
      <c r="F23" s="154" t="n"/>
      <c r="G23" s="154" t="n"/>
      <c r="H23" s="154" t="n"/>
      <c r="I23" s="154" t="n"/>
      <c r="J23" s="154" t="n"/>
      <c r="K23" s="92" t="n"/>
    </row>
    <row r="24">
      <c r="B24" s="57" t="n"/>
      <c r="C24" s="43" t="n"/>
      <c r="D24" s="43" t="n"/>
      <c r="E24" s="43" t="n"/>
      <c r="F24" s="154" t="n"/>
      <c r="G24" s="154" t="n"/>
      <c r="H24" s="154" t="n"/>
      <c r="I24" s="154" t="n"/>
      <c r="J24" s="154" t="n"/>
      <c r="K24" s="92" t="n"/>
    </row>
    <row r="25">
      <c r="B25" s="57" t="n"/>
      <c r="C25" s="43" t="n"/>
      <c r="D25" s="43" t="n"/>
      <c r="E25" s="43" t="n"/>
      <c r="F25" s="154" t="n"/>
      <c r="G25" s="154" t="n"/>
      <c r="H25" s="154" t="n"/>
      <c r="I25" s="154" t="n"/>
      <c r="J25" s="154" t="n"/>
      <c r="K25" s="92" t="n"/>
    </row>
    <row r="26">
      <c r="B26" s="57" t="n"/>
      <c r="C26" s="43" t="n"/>
      <c r="D26" s="43" t="n"/>
      <c r="E26" s="43" t="n"/>
      <c r="F26" s="154" t="n"/>
      <c r="G26" s="154" t="n"/>
      <c r="H26" s="154" t="n"/>
      <c r="I26" s="154" t="n"/>
      <c r="J26" s="154" t="n"/>
    </row>
    <row r="27">
      <c r="B27" s="57" t="n"/>
      <c r="C27" s="43" t="n"/>
      <c r="D27" s="43" t="n"/>
      <c r="E27" s="43" t="n"/>
      <c r="F27" s="154" t="n"/>
      <c r="G27" s="154" t="n"/>
      <c r="H27" s="154" t="n"/>
      <c r="I27" s="154" t="n"/>
      <c r="J27" s="154" t="n"/>
    </row>
    <row r="28">
      <c r="B28" s="57" t="n"/>
      <c r="C28" s="43" t="n"/>
      <c r="D28" s="43" t="n"/>
      <c r="E28" s="43" t="n"/>
      <c r="F28" s="154" t="n"/>
      <c r="G28" s="154" t="n"/>
      <c r="H28" s="154" t="n"/>
      <c r="I28" s="154" t="n"/>
      <c r="J28" s="154" t="n"/>
    </row>
    <row r="29">
      <c r="B29" s="57" t="n"/>
      <c r="C29" s="43" t="n"/>
      <c r="D29" s="43" t="n"/>
      <c r="E29" s="43" t="n"/>
      <c r="F29" s="154" t="n"/>
      <c r="G29" s="154" t="n"/>
      <c r="H29" s="154" t="n"/>
      <c r="I29" s="154" t="n"/>
      <c r="J29" s="154" t="n"/>
    </row>
    <row r="30">
      <c r="B30" s="57" t="n"/>
      <c r="C30" s="43" t="n"/>
      <c r="D30" s="43" t="n"/>
      <c r="E30" s="43" t="n"/>
      <c r="F30" s="154" t="n"/>
      <c r="G30" s="154" t="n"/>
      <c r="H30" s="154" t="n"/>
      <c r="I30" s="154" t="n"/>
      <c r="J30" s="154" t="n"/>
    </row>
    <row r="31">
      <c r="B31" s="64" t="n"/>
    </row>
    <row r="32">
      <c r="B32" s="64" t="n"/>
    </row>
    <row r="33">
      <c r="B33" s="442" t="n"/>
    </row>
    <row r="34">
      <c r="B34" s="64" t="n"/>
    </row>
    <row r="35">
      <c r="B35" s="64" t="n"/>
    </row>
    <row r="36">
      <c r="B36" s="64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1">
    <mergeCell ref="B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9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1.38" customWidth="1" style="463" min="2" max="2"/>
    <col width="17.63" customWidth="1" style="463" min="3" max="3"/>
    <col width="28.38" customWidth="1" style="463" min="4" max="4"/>
    <col width="25.5" customWidth="1" style="463" min="5" max="5"/>
    <col width="19.88" customWidth="1" style="463" min="6" max="6"/>
  </cols>
  <sheetData>
    <row r="1">
      <c r="A1" s="110" t="n"/>
      <c r="B1" s="111" t="n"/>
      <c r="C1" s="111" t="n"/>
      <c r="D1" s="111" t="n"/>
      <c r="E1" s="111" t="n"/>
      <c r="F1" s="112" t="n"/>
    </row>
    <row r="2">
      <c r="A2" s="113" t="n"/>
      <c r="B2" s="114" t="inlineStr">
        <is>
          <t>Requisito de projeto</t>
        </is>
      </c>
      <c r="C2" s="114" t="inlineStr">
        <is>
          <t>ID</t>
        </is>
      </c>
      <c r="D2" s="114" t="inlineStr">
        <is>
          <t>Unidade</t>
        </is>
      </c>
      <c r="E2" s="114" t="inlineStr">
        <is>
          <t>Direção</t>
        </is>
      </c>
      <c r="F2" s="115" t="inlineStr">
        <is>
          <t>(+) quanto maior melhor
(−) quanto menor melhor
(=) valor/condição específica.</t>
        </is>
      </c>
      <c r="G2" s="234" t="n"/>
    </row>
    <row r="3">
      <c r="A3" s="117" t="n"/>
      <c r="B3" s="118" t="n"/>
      <c r="C3" s="43" t="n"/>
      <c r="D3" s="43" t="n"/>
      <c r="E3" s="43" t="n"/>
      <c r="F3" s="115" t="n"/>
      <c r="G3" s="215" t="n"/>
    </row>
    <row r="4">
      <c r="A4" s="117" t="n"/>
      <c r="B4" s="118" t="n"/>
      <c r="C4" s="43" t="n"/>
      <c r="D4" s="43" t="n"/>
      <c r="E4" s="43" t="n"/>
      <c r="F4" s="119" t="n"/>
      <c r="G4" s="215" t="n"/>
    </row>
    <row r="5">
      <c r="A5" s="117" t="n"/>
      <c r="B5" s="118" t="n"/>
      <c r="C5" s="43" t="n"/>
      <c r="D5" s="43" t="n"/>
      <c r="E5" s="43" t="n"/>
      <c r="F5" s="119" t="n"/>
      <c r="G5" s="215" t="n"/>
    </row>
    <row r="6">
      <c r="A6" s="117" t="n"/>
      <c r="B6" s="118" t="n"/>
      <c r="C6" s="43" t="n"/>
      <c r="D6" s="43" t="n"/>
      <c r="E6" s="43" t="n"/>
      <c r="F6" s="119" t="n"/>
      <c r="G6" s="215" t="n"/>
    </row>
    <row r="7">
      <c r="A7" s="117" t="n"/>
      <c r="B7" s="118" t="n"/>
      <c r="C7" s="43" t="n"/>
      <c r="D7" s="43" t="n"/>
      <c r="E7" s="43" t="n"/>
      <c r="F7" s="119" t="n"/>
      <c r="G7" s="215" t="n"/>
    </row>
    <row r="8">
      <c r="A8" s="117" t="n"/>
      <c r="B8" s="118" t="n"/>
      <c r="C8" s="43" t="n"/>
      <c r="D8" s="43" t="n"/>
      <c r="E8" s="43" t="n"/>
      <c r="F8" s="119" t="n"/>
      <c r="G8" s="215" t="n"/>
    </row>
    <row r="9">
      <c r="A9" s="117" t="n"/>
      <c r="B9" s="118" t="n"/>
      <c r="C9" s="43" t="n"/>
      <c r="D9" s="43" t="n"/>
      <c r="E9" s="43" t="n"/>
      <c r="F9" s="119" t="n"/>
      <c r="G9" s="215" t="n"/>
    </row>
    <row r="10">
      <c r="A10" s="117" t="n"/>
      <c r="B10" s="118" t="n"/>
      <c r="C10" s="43" t="n"/>
      <c r="D10" s="43" t="n"/>
      <c r="E10" s="43" t="n"/>
      <c r="G10" s="215" t="n"/>
    </row>
    <row r="11">
      <c r="A11" s="120" t="n"/>
      <c r="B11" s="118" t="n"/>
      <c r="C11" s="43" t="n"/>
      <c r="D11" s="43" t="n"/>
      <c r="E11" s="43" t="n"/>
      <c r="G11" s="215" t="n"/>
    </row>
    <row r="12">
      <c r="A12" s="121" t="n"/>
      <c r="B12" s="118" t="n"/>
      <c r="C12" s="43" t="n"/>
      <c r="D12" s="43" t="n"/>
      <c r="E12" s="43" t="n"/>
      <c r="G12" s="215" t="n"/>
    </row>
    <row r="13">
      <c r="A13" s="120" t="n"/>
      <c r="B13" s="118" t="n"/>
      <c r="C13" s="43" t="n"/>
      <c r="D13" s="43" t="n"/>
      <c r="E13" s="43" t="n"/>
      <c r="G13" s="215" t="n"/>
    </row>
    <row r="14">
      <c r="A14" s="120" t="n"/>
      <c r="B14" s="118" t="n"/>
      <c r="C14" s="43" t="n"/>
      <c r="D14" s="43" t="n"/>
      <c r="E14" s="43" t="n"/>
      <c r="G14" s="215" t="n"/>
    </row>
    <row r="15">
      <c r="A15" s="120" t="n"/>
      <c r="B15" s="118" t="n"/>
      <c r="C15" s="43" t="n"/>
      <c r="D15" s="43" t="n"/>
      <c r="E15" s="43" t="n"/>
      <c r="G15" s="215" t="n"/>
    </row>
    <row r="16">
      <c r="A16" s="120" t="n"/>
      <c r="B16" s="118" t="n"/>
      <c r="C16" s="43" t="n"/>
      <c r="D16" s="43" t="n"/>
      <c r="E16" s="43" t="n"/>
      <c r="G16" s="215" t="n"/>
    </row>
    <row r="17">
      <c r="A17" s="208" t="n"/>
      <c r="B17" s="118" t="n"/>
      <c r="C17" s="43" t="n"/>
      <c r="D17" s="43" t="n"/>
      <c r="E17" s="43" t="n"/>
      <c r="G17" s="215" t="n"/>
    </row>
    <row r="18">
      <c r="A18" s="208" t="n"/>
      <c r="B18" s="118" t="n"/>
      <c r="C18" s="43" t="n"/>
      <c r="D18" s="43" t="n"/>
      <c r="E18" s="43" t="n"/>
      <c r="G18" s="215" t="n"/>
    </row>
    <row r="19">
      <c r="A19" s="208" t="n"/>
      <c r="B19" s="118" t="n"/>
      <c r="C19" s="43" t="n"/>
      <c r="D19" s="43" t="n"/>
      <c r="E19" s="43" t="n"/>
      <c r="G19" s="215" t="n"/>
    </row>
    <row r="20">
      <c r="A20" s="208" t="n"/>
      <c r="B20" s="118" t="n"/>
      <c r="C20" s="43" t="n"/>
      <c r="D20" s="43" t="n"/>
      <c r="E20" s="43" t="n"/>
      <c r="G20" s="215" t="n"/>
    </row>
    <row r="21">
      <c r="A21" s="208" t="n"/>
      <c r="B21" s="118" t="n"/>
      <c r="C21" s="43" t="n"/>
      <c r="D21" s="43" t="n"/>
      <c r="E21" s="43" t="n"/>
      <c r="G21" s="215" t="n"/>
    </row>
    <row r="22">
      <c r="A22" s="208" t="n"/>
      <c r="B22" s="118" t="n"/>
      <c r="C22" s="43" t="n"/>
      <c r="D22" s="43" t="n"/>
      <c r="E22" s="43" t="n"/>
      <c r="G22" s="215" t="n"/>
    </row>
    <row r="23">
      <c r="A23" s="208" t="n"/>
      <c r="B23" s="118" t="n"/>
      <c r="C23" s="43" t="n"/>
      <c r="D23" s="43" t="n"/>
      <c r="E23" s="43" t="n"/>
      <c r="G23" s="215" t="n"/>
    </row>
    <row r="24">
      <c r="A24" s="208" t="n"/>
      <c r="B24" s="118" t="n"/>
      <c r="C24" s="43" t="n"/>
      <c r="D24" s="43" t="n"/>
      <c r="E24" s="43" t="n"/>
      <c r="G24" s="215" t="n"/>
    </row>
    <row r="25">
      <c r="A25" s="208" t="n"/>
      <c r="B25" s="118" t="n"/>
      <c r="C25" s="43" t="n"/>
      <c r="D25" s="43" t="n"/>
      <c r="E25" s="43" t="n"/>
      <c r="G25" s="215" t="n"/>
    </row>
    <row r="26">
      <c r="A26" s="208" t="n"/>
      <c r="B26" s="208" t="n"/>
      <c r="C26" s="226" t="n"/>
      <c r="D26" s="26" t="n"/>
      <c r="E26" s="125" t="n"/>
    </row>
    <row r="27">
      <c r="A27" s="208" t="n"/>
      <c r="B27" s="208" t="n"/>
      <c r="C27" s="226" t="n"/>
      <c r="D27" s="26" t="n"/>
      <c r="E27" s="125" t="n"/>
    </row>
    <row r="28">
      <c r="A28" s="208" t="n"/>
      <c r="B28" s="208" t="n"/>
      <c r="C28" s="226" t="n"/>
      <c r="D28" s="26" t="n"/>
      <c r="E28" s="125" t="n"/>
    </row>
    <row r="29">
      <c r="A29" s="208" t="n"/>
      <c r="B29" s="208" t="n"/>
      <c r="C29" s="226" t="n"/>
      <c r="D29" s="26" t="n"/>
      <c r="E29" s="125" t="n"/>
    </row>
    <row r="30">
      <c r="A30" s="208" t="n"/>
      <c r="B30" s="208" t="n"/>
      <c r="C30" s="226" t="n"/>
      <c r="D30" s="26" t="n"/>
      <c r="E30" s="125" t="n"/>
    </row>
    <row r="31">
      <c r="A31" s="208" t="n"/>
      <c r="B31" s="208" t="n"/>
      <c r="C31" s="226" t="n"/>
      <c r="D31" s="26" t="n"/>
      <c r="E31" s="125" t="n"/>
    </row>
    <row r="32">
      <c r="A32" s="208" t="n"/>
      <c r="B32" s="208" t="n"/>
      <c r="C32" s="226" t="n"/>
      <c r="D32" s="26" t="n"/>
      <c r="E32" s="125" t="n"/>
    </row>
    <row r="33">
      <c r="A33" s="208" t="n"/>
      <c r="B33" s="208" t="n"/>
      <c r="C33" s="226" t="n"/>
      <c r="D33" s="26" t="n"/>
      <c r="E33" s="125" t="n"/>
    </row>
    <row r="34">
      <c r="A34" s="208" t="n"/>
      <c r="B34" s="208" t="n"/>
      <c r="C34" s="226" t="n"/>
      <c r="D34" s="26" t="n"/>
      <c r="E34" s="125" t="n"/>
    </row>
    <row r="35">
      <c r="A35" s="208" t="n"/>
      <c r="B35" s="208" t="n"/>
      <c r="C35" s="226" t="n"/>
      <c r="D35" s="26" t="n"/>
      <c r="E35" s="125" t="n"/>
    </row>
    <row r="36">
      <c r="A36" s="208" t="n"/>
      <c r="B36" s="208" t="n"/>
      <c r="C36" s="226" t="n"/>
      <c r="D36" s="26" t="n"/>
      <c r="E36" s="125" t="n"/>
    </row>
    <row r="37">
      <c r="A37" s="208" t="n"/>
      <c r="B37" s="208" t="n"/>
      <c r="C37" s="226" t="n"/>
      <c r="D37" s="26" t="n"/>
      <c r="E37" s="125" t="n"/>
    </row>
    <row r="38">
      <c r="A38" s="208" t="n"/>
      <c r="B38" s="208" t="n"/>
      <c r="C38" s="226" t="n"/>
      <c r="D38" s="26" t="n"/>
      <c r="E38" s="125" t="n"/>
    </row>
    <row r="39">
      <c r="A39" s="208" t="n"/>
      <c r="B39" s="208" t="n"/>
      <c r="C39" s="226" t="n"/>
      <c r="D39" s="26" t="n"/>
      <c r="E39" s="125" t="n"/>
    </row>
    <row r="40">
      <c r="A40" s="208" t="n"/>
      <c r="B40" s="208" t="n"/>
      <c r="C40" s="226" t="n"/>
      <c r="D40" s="26" t="n"/>
      <c r="E40" s="125" t="n"/>
    </row>
    <row r="41">
      <c r="A41" s="208" t="n"/>
      <c r="B41" s="208" t="n"/>
      <c r="C41" s="226" t="n"/>
      <c r="D41" s="26" t="n"/>
      <c r="E41" s="125" t="n"/>
    </row>
    <row r="42">
      <c r="A42" s="208" t="n"/>
      <c r="B42" s="208" t="n"/>
      <c r="C42" s="226" t="n"/>
      <c r="D42" s="26" t="n"/>
      <c r="E42" s="125" t="n"/>
    </row>
    <row r="43">
      <c r="A43" s="208" t="n"/>
      <c r="B43" s="208" t="n"/>
      <c r="C43" s="226" t="n"/>
      <c r="D43" s="26" t="n"/>
      <c r="E43" s="125" t="n"/>
    </row>
    <row r="44">
      <c r="A44" s="208" t="n"/>
      <c r="B44" s="208" t="n"/>
      <c r="C44" s="226" t="n"/>
      <c r="D44" s="26" t="n"/>
      <c r="E44" s="125" t="n"/>
    </row>
    <row r="45">
      <c r="A45" s="208" t="n"/>
      <c r="B45" s="208" t="n"/>
      <c r="C45" s="226" t="n"/>
      <c r="D45" s="26" t="n"/>
      <c r="E45" s="125" t="n"/>
    </row>
    <row r="46">
      <c r="A46" s="208" t="n"/>
      <c r="B46" s="208" t="n"/>
      <c r="C46" s="226" t="n"/>
      <c r="D46" s="26" t="n"/>
      <c r="E46" s="125" t="n"/>
    </row>
    <row r="47">
      <c r="A47" s="208" t="n"/>
      <c r="B47" s="208" t="n"/>
      <c r="C47" s="226" t="n"/>
      <c r="D47" s="26" t="n"/>
      <c r="E47" s="125" t="n"/>
    </row>
    <row r="48">
      <c r="A48" s="208" t="n"/>
      <c r="B48" s="208" t="n"/>
      <c r="C48" s="226" t="n"/>
      <c r="D48" s="26" t="n"/>
      <c r="E48" s="125" t="n"/>
    </row>
    <row r="49">
      <c r="A49" s="208" t="n"/>
      <c r="B49" s="208" t="n"/>
      <c r="C49" s="226" t="n"/>
      <c r="D49" s="26" t="n"/>
      <c r="E49" s="125" t="n"/>
    </row>
    <row r="50">
      <c r="A50" s="208" t="n"/>
      <c r="B50" s="208" t="n"/>
      <c r="C50" s="226" t="n"/>
      <c r="D50" s="26" t="n"/>
      <c r="E50" s="125" t="n"/>
    </row>
    <row r="51">
      <c r="A51" s="208" t="n"/>
      <c r="B51" s="208" t="n"/>
      <c r="C51" s="226" t="n"/>
      <c r="D51" s="26" t="n"/>
      <c r="E51" s="125" t="n"/>
    </row>
    <row r="52">
      <c r="A52" s="208" t="n"/>
      <c r="B52" s="208" t="n"/>
      <c r="C52" s="226" t="n"/>
      <c r="D52" s="26" t="n"/>
      <c r="E52" s="125" t="n"/>
    </row>
    <row r="53">
      <c r="A53" s="208" t="n"/>
      <c r="B53" s="208" t="n"/>
      <c r="C53" s="226" t="n"/>
      <c r="D53" s="26" t="n"/>
      <c r="E53" s="125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142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142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142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16"/>
    <row r="17"/>
    <row r="18"/>
    <row r="19"/>
    <row r="20"/>
    <row r="21"/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28"/>
    <row r="29"/>
    <row r="30"/>
    <row r="31"/>
    <row r="32"/>
    <row r="33"/>
    <row r="34"/>
    <row r="35"/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990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8.75" customWidth="1" style="463" min="2" max="2"/>
    <col width="34.25" customWidth="1" style="463" min="3" max="3"/>
    <col width="15.25" customWidth="1" style="463" min="4" max="4"/>
    <col width="18.5" customWidth="1" style="463" min="5" max="5"/>
    <col width="7.63" customWidth="1" style="463" min="6" max="28"/>
    <col width="17.88" customWidth="1" style="463" min="29" max="29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89" t="n"/>
      <c r="C2" s="167" t="n"/>
      <c r="D2" s="89" t="n"/>
      <c r="E2" s="167" t="n"/>
      <c r="F2" s="168" t="inlineStr">
        <is>
          <t>Requisito de projeto</t>
        </is>
      </c>
      <c r="AC2" s="234" t="n"/>
      <c r="AD2" s="234" t="n"/>
    </row>
    <row r="3" ht="165.75" customHeight="1" s="463">
      <c r="A3" s="169" t="n"/>
      <c r="B3" s="169" t="n"/>
      <c r="C3" s="170" t="n"/>
      <c r="D3" s="169" t="n"/>
      <c r="E3" s="169" t="n"/>
      <c r="F3" s="171" t="n"/>
      <c r="G3" s="171" t="n"/>
      <c r="H3" s="171" t="n"/>
      <c r="I3" s="171" t="n"/>
      <c r="J3" s="171" t="n"/>
      <c r="K3" s="171" t="n"/>
      <c r="L3" s="171" t="n"/>
      <c r="M3" s="171" t="n"/>
      <c r="N3" s="171" t="n"/>
      <c r="O3" s="171" t="n"/>
      <c r="P3" s="171" t="n"/>
      <c r="Q3" s="171" t="n"/>
      <c r="R3" s="171" t="n"/>
      <c r="S3" s="171" t="n"/>
      <c r="T3" s="171" t="n"/>
      <c r="U3" s="171" t="n"/>
      <c r="V3" s="171" t="n"/>
      <c r="W3" s="171" t="n"/>
      <c r="X3" s="171" t="n"/>
      <c r="Y3" s="171" t="n"/>
      <c r="Z3" s="171" t="n"/>
      <c r="AA3" s="171" t="n"/>
      <c r="AB3" s="171" t="n"/>
      <c r="AC3" s="175" t="n"/>
      <c r="AD3" s="175" t="n"/>
    </row>
    <row r="4">
      <c r="B4" s="176" t="inlineStr">
        <is>
          <t>ID</t>
        </is>
      </c>
      <c r="C4" s="176" t="inlineStr">
        <is>
          <t>Requisito Cliente</t>
        </is>
      </c>
      <c r="D4" s="176" t="inlineStr">
        <is>
          <t>Pontuação Mudge</t>
        </is>
      </c>
      <c r="E4" s="176" t="inlineStr">
        <is>
          <t>Grau de Importância</t>
        </is>
      </c>
      <c r="F4" s="177" t="inlineStr">
        <is>
          <t>Matriz de Relacionamento</t>
        </is>
      </c>
      <c r="AC4" s="178" t="inlineStr">
        <is>
          <t>Valor de Importância</t>
        </is>
      </c>
    </row>
    <row r="5">
      <c r="B5" s="301" t="n"/>
      <c r="C5" s="108" t="n"/>
      <c r="D5" s="43" t="n"/>
      <c r="E5" s="43" t="n"/>
      <c r="F5" s="182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3" t="n"/>
      <c r="U5" s="183" t="n"/>
      <c r="V5" s="183" t="n"/>
      <c r="W5" s="183" t="n"/>
      <c r="X5" s="183" t="n"/>
      <c r="Y5" s="183" t="n"/>
      <c r="Z5" s="183" t="n"/>
      <c r="AA5" s="183" t="n"/>
      <c r="AB5" s="183" t="n"/>
      <c r="AC5" s="191" t="n"/>
      <c r="AD5" s="26" t="n"/>
    </row>
    <row r="6">
      <c r="A6" s="193" t="n"/>
      <c r="B6" s="301" t="n"/>
      <c r="C6" s="108" t="n"/>
      <c r="D6" s="43" t="n"/>
      <c r="E6" s="43" t="n"/>
      <c r="F6" s="195" t="n"/>
      <c r="G6" s="197" t="n"/>
      <c r="H6" s="197" t="n"/>
      <c r="I6" s="197" t="n"/>
      <c r="J6" s="197" t="n"/>
      <c r="K6" s="197" t="n"/>
      <c r="L6" s="197" t="n"/>
      <c r="M6" s="197" t="n"/>
      <c r="N6" s="197" t="n"/>
      <c r="O6" s="197" t="n"/>
      <c r="P6" s="197" t="n"/>
      <c r="Q6" s="197" t="n"/>
      <c r="R6" s="197" t="n"/>
      <c r="S6" s="197" t="n"/>
      <c r="T6" s="197" t="n"/>
      <c r="U6" s="197" t="n"/>
      <c r="V6" s="197" t="n"/>
      <c r="W6" s="197" t="n"/>
      <c r="X6" s="197" t="n"/>
      <c r="Y6" s="197" t="n"/>
      <c r="Z6" s="197" t="n"/>
      <c r="AA6" s="197" t="n"/>
      <c r="AB6" s="197" t="n"/>
      <c r="AC6" s="191" t="n"/>
      <c r="AD6" s="193" t="n"/>
    </row>
    <row r="7">
      <c r="A7" s="193" t="n"/>
      <c r="B7" s="301" t="n"/>
      <c r="C7" s="108" t="n"/>
      <c r="D7" s="43" t="n"/>
      <c r="E7" s="43" t="n"/>
      <c r="F7" s="195" t="n"/>
      <c r="G7" s="197" t="n"/>
      <c r="H7" s="197" t="n"/>
      <c r="I7" s="197" t="n"/>
      <c r="J7" s="197" t="n"/>
      <c r="K7" s="197" t="n"/>
      <c r="L7" s="197" t="n"/>
      <c r="M7" s="197" t="n"/>
      <c r="N7" s="197" t="n"/>
      <c r="O7" s="197" t="n"/>
      <c r="P7" s="197" t="n"/>
      <c r="Q7" s="197" t="n"/>
      <c r="R7" s="197" t="n"/>
      <c r="S7" s="197" t="n"/>
      <c r="T7" s="197" t="n"/>
      <c r="U7" s="197" t="n"/>
      <c r="V7" s="197" t="n"/>
      <c r="W7" s="197" t="n"/>
      <c r="X7" s="197" t="n"/>
      <c r="Y7" s="197" t="n"/>
      <c r="Z7" s="197" t="n"/>
      <c r="AA7" s="197" t="n"/>
      <c r="AB7" s="197" t="n"/>
      <c r="AC7" s="191" t="n"/>
      <c r="AD7" s="193" t="n"/>
    </row>
    <row r="8">
      <c r="A8" s="193" t="n"/>
      <c r="B8" s="301" t="n"/>
      <c r="C8" s="108" t="n"/>
      <c r="D8" s="43" t="n"/>
      <c r="E8" s="43" t="n"/>
      <c r="F8" s="195" t="n"/>
      <c r="G8" s="197" t="n"/>
      <c r="H8" s="197" t="n"/>
      <c r="I8" s="197" t="n"/>
      <c r="J8" s="197" t="n"/>
      <c r="K8" s="197" t="n"/>
      <c r="L8" s="197" t="n"/>
      <c r="M8" s="197" t="n"/>
      <c r="N8" s="197" t="n"/>
      <c r="O8" s="197" t="n"/>
      <c r="P8" s="197" t="n"/>
      <c r="Q8" s="197" t="n"/>
      <c r="R8" s="197" t="n"/>
      <c r="S8" s="197" t="n"/>
      <c r="T8" s="197" t="n"/>
      <c r="U8" s="197" t="n"/>
      <c r="V8" s="197" t="n"/>
      <c r="W8" s="197" t="n"/>
      <c r="X8" s="197" t="n"/>
      <c r="Y8" s="197" t="n"/>
      <c r="Z8" s="197" t="n"/>
      <c r="AA8" s="197" t="n"/>
      <c r="AB8" s="197" t="n"/>
      <c r="AC8" s="191" t="n"/>
      <c r="AD8" s="193" t="n"/>
    </row>
    <row r="9">
      <c r="A9" s="193" t="n"/>
      <c r="B9" s="301" t="n"/>
      <c r="C9" s="108" t="n"/>
      <c r="D9" s="43" t="n"/>
      <c r="E9" s="43" t="n"/>
      <c r="F9" s="195" t="n"/>
      <c r="G9" s="197" t="n"/>
      <c r="H9" s="197" t="n"/>
      <c r="I9" s="197" t="n"/>
      <c r="J9" s="197" t="n"/>
      <c r="K9" s="197" t="n"/>
      <c r="L9" s="197" t="n"/>
      <c r="M9" s="197" t="n"/>
      <c r="N9" s="197" t="n"/>
      <c r="O9" s="197" t="n"/>
      <c r="P9" s="197" t="n"/>
      <c r="Q9" s="197" t="n"/>
      <c r="R9" s="197" t="n"/>
      <c r="S9" s="197" t="n"/>
      <c r="T9" s="197" t="n"/>
      <c r="U9" s="197" t="n"/>
      <c r="V9" s="197" t="n"/>
      <c r="W9" s="197" t="n"/>
      <c r="X9" s="197" t="n"/>
      <c r="Y9" s="197" t="n"/>
      <c r="Z9" s="197" t="n"/>
      <c r="AA9" s="197" t="n"/>
      <c r="AB9" s="197" t="n"/>
      <c r="AC9" s="191" t="n"/>
      <c r="AD9" s="193" t="n"/>
    </row>
    <row r="10">
      <c r="A10" s="193" t="n"/>
      <c r="B10" s="301" t="n"/>
      <c r="C10" s="108" t="n"/>
      <c r="D10" s="43" t="n"/>
      <c r="E10" s="43" t="n"/>
      <c r="F10" s="195" t="n"/>
      <c r="G10" s="197" t="n"/>
      <c r="H10" s="197" t="n"/>
      <c r="I10" s="197" t="n"/>
      <c r="J10" s="197" t="n"/>
      <c r="K10" s="197" t="n"/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1" t="n"/>
      <c r="AD10" s="193" t="n"/>
    </row>
    <row r="11">
      <c r="A11" s="193" t="n"/>
      <c r="B11" s="301" t="n"/>
      <c r="C11" s="108" t="n"/>
      <c r="D11" s="43" t="n"/>
      <c r="E11" s="43" t="n"/>
      <c r="F11" s="195" t="n"/>
      <c r="G11" s="197" t="n"/>
      <c r="H11" s="197" t="n"/>
      <c r="I11" s="197" t="n"/>
      <c r="J11" s="197" t="n"/>
      <c r="K11" s="197" t="n"/>
      <c r="L11" s="197" t="n"/>
      <c r="M11" s="197" t="n"/>
      <c r="N11" s="197" t="n"/>
      <c r="O11" s="197" t="n"/>
      <c r="P11" s="197" t="n"/>
      <c r="Q11" s="197" t="n"/>
      <c r="R11" s="197" t="n"/>
      <c r="S11" s="197" t="n"/>
      <c r="T11" s="197" t="n"/>
      <c r="U11" s="197" t="n"/>
      <c r="V11" s="197" t="n"/>
      <c r="W11" s="197" t="n"/>
      <c r="X11" s="197" t="n"/>
      <c r="Y11" s="197" t="n"/>
      <c r="Z11" s="197" t="n"/>
      <c r="AA11" s="197" t="n"/>
      <c r="AB11" s="197" t="n"/>
      <c r="AC11" s="191" t="n"/>
      <c r="AD11" s="193" t="n"/>
    </row>
    <row r="12">
      <c r="A12" s="193" t="n"/>
      <c r="B12" s="301" t="n"/>
      <c r="C12" s="108" t="n"/>
      <c r="D12" s="43" t="n"/>
      <c r="E12" s="43" t="n"/>
      <c r="F12" s="195" t="n"/>
      <c r="G12" s="197" t="n"/>
      <c r="H12" s="197" t="n"/>
      <c r="I12" s="197" t="n"/>
      <c r="J12" s="197" t="n"/>
      <c r="K12" s="197" t="n"/>
      <c r="L12" s="197" t="n"/>
      <c r="M12" s="197" t="n"/>
      <c r="N12" s="197" t="n"/>
      <c r="O12" s="197" t="n"/>
      <c r="P12" s="197" t="n"/>
      <c r="Q12" s="197" t="n"/>
      <c r="R12" s="197" t="n"/>
      <c r="S12" s="197" t="n"/>
      <c r="T12" s="197" t="n"/>
      <c r="U12" s="197" t="n"/>
      <c r="V12" s="197" t="n"/>
      <c r="W12" s="197" t="n"/>
      <c r="X12" s="197" t="n"/>
      <c r="Y12" s="197" t="n"/>
      <c r="Z12" s="197" t="n"/>
      <c r="AA12" s="197" t="n"/>
      <c r="AB12" s="197" t="n"/>
      <c r="AC12" s="191" t="n"/>
      <c r="AD12" s="193" t="n"/>
    </row>
    <row r="13">
      <c r="A13" s="193" t="n"/>
      <c r="B13" s="301" t="n"/>
      <c r="C13" s="108" t="n"/>
      <c r="D13" s="43" t="n"/>
      <c r="E13" s="43" t="n"/>
      <c r="F13" s="195" t="n"/>
      <c r="G13" s="197" t="n"/>
      <c r="H13" s="197" t="n"/>
      <c r="I13" s="197" t="n"/>
      <c r="J13" s="197" t="n"/>
      <c r="K13" s="197" t="n"/>
      <c r="L13" s="197" t="n"/>
      <c r="M13" s="197" t="n"/>
      <c r="N13" s="197" t="n"/>
      <c r="O13" s="197" t="n"/>
      <c r="P13" s="197" t="n"/>
      <c r="Q13" s="197" t="n"/>
      <c r="R13" s="197" t="n"/>
      <c r="S13" s="197" t="n"/>
      <c r="T13" s="197" t="n"/>
      <c r="U13" s="197" t="n"/>
      <c r="V13" s="197" t="n"/>
      <c r="W13" s="197" t="n"/>
      <c r="X13" s="197" t="n"/>
      <c r="Y13" s="197" t="n"/>
      <c r="Z13" s="197" t="n"/>
      <c r="AA13" s="197" t="n"/>
      <c r="AB13" s="197" t="n"/>
      <c r="AC13" s="191" t="n"/>
      <c r="AD13" s="193" t="n"/>
    </row>
    <row r="14">
      <c r="A14" s="193" t="n"/>
      <c r="B14" s="301" t="n"/>
      <c r="C14" s="108" t="n"/>
      <c r="D14" s="43" t="n"/>
      <c r="E14" s="43" t="n"/>
      <c r="F14" s="195" t="n"/>
      <c r="G14" s="197" t="n"/>
      <c r="H14" s="197" t="n"/>
      <c r="I14" s="197" t="n"/>
      <c r="J14" s="197" t="n"/>
      <c r="K14" s="197" t="n"/>
      <c r="L14" s="197" t="n"/>
      <c r="M14" s="197" t="n"/>
      <c r="N14" s="197" t="n"/>
      <c r="O14" s="197" t="n"/>
      <c r="P14" s="197" t="n"/>
      <c r="Q14" s="197" t="n"/>
      <c r="R14" s="197" t="n"/>
      <c r="S14" s="197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1" t="n"/>
      <c r="AD14" s="193" t="n"/>
    </row>
    <row r="15">
      <c r="A15" s="193" t="n"/>
      <c r="B15" s="301" t="n"/>
      <c r="C15" s="108" t="n"/>
      <c r="D15" s="43" t="n"/>
      <c r="E15" s="43" t="n"/>
      <c r="F15" s="195" t="n"/>
      <c r="G15" s="197" t="n"/>
      <c r="H15" s="197" t="n"/>
      <c r="I15" s="197" t="n"/>
      <c r="J15" s="197" t="n"/>
      <c r="K15" s="197" t="n"/>
      <c r="L15" s="197" t="n"/>
      <c r="M15" s="197" t="n"/>
      <c r="N15" s="197" t="n"/>
      <c r="O15" s="197" t="n"/>
      <c r="P15" s="197" t="n"/>
      <c r="Q15" s="197" t="n"/>
      <c r="R15" s="197" t="n"/>
      <c r="S15" s="197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1" t="n"/>
      <c r="AD15" s="193" t="n"/>
    </row>
    <row r="16">
      <c r="A16" s="193" t="n"/>
      <c r="B16" s="301" t="n"/>
      <c r="C16" s="108" t="n"/>
      <c r="D16" s="43" t="n"/>
      <c r="E16" s="43" t="n"/>
      <c r="F16" s="195" t="n"/>
      <c r="G16" s="197" t="n"/>
      <c r="H16" s="197" t="n"/>
      <c r="I16" s="197" t="n"/>
      <c r="J16" s="197" t="n"/>
      <c r="K16" s="197" t="n"/>
      <c r="L16" s="197" t="n"/>
      <c r="M16" s="197" t="n"/>
      <c r="N16" s="197" t="n"/>
      <c r="O16" s="197" t="n"/>
      <c r="P16" s="197" t="n"/>
      <c r="Q16" s="197" t="n"/>
      <c r="R16" s="197" t="n"/>
      <c r="S16" s="197" t="n"/>
      <c r="T16" s="197" t="n"/>
      <c r="U16" s="197" t="n"/>
      <c r="V16" s="197" t="n"/>
      <c r="W16" s="197" t="n"/>
      <c r="X16" s="197" t="n"/>
      <c r="Y16" s="197" t="n"/>
      <c r="Z16" s="197" t="n"/>
      <c r="AA16" s="197" t="n"/>
      <c r="AB16" s="197" t="n"/>
      <c r="AC16" s="191" t="n"/>
      <c r="AD16" s="193" t="n"/>
    </row>
    <row r="17">
      <c r="A17" s="193" t="n"/>
      <c r="B17" s="301" t="n"/>
      <c r="C17" s="108" t="n"/>
      <c r="D17" s="43" t="n"/>
      <c r="E17" s="43" t="n"/>
      <c r="F17" s="195" t="n"/>
      <c r="G17" s="197" t="n"/>
      <c r="H17" s="197" t="n"/>
      <c r="I17" s="197" t="n"/>
      <c r="J17" s="197" t="n"/>
      <c r="K17" s="197" t="n"/>
      <c r="L17" s="197" t="n"/>
      <c r="M17" s="197" t="n"/>
      <c r="N17" s="197" t="n"/>
      <c r="O17" s="197" t="n"/>
      <c r="P17" s="197" t="n"/>
      <c r="Q17" s="197" t="n"/>
      <c r="R17" s="197" t="n"/>
      <c r="S17" s="197" t="n"/>
      <c r="T17" s="197" t="n"/>
      <c r="U17" s="197" t="n"/>
      <c r="V17" s="197" t="n"/>
      <c r="W17" s="197" t="n"/>
      <c r="X17" s="197" t="n"/>
      <c r="Y17" s="197" t="n"/>
      <c r="Z17" s="197" t="n"/>
      <c r="AA17" s="197" t="n"/>
      <c r="AB17" s="197" t="n"/>
      <c r="AC17" s="191" t="n"/>
      <c r="AD17" s="193" t="n"/>
    </row>
    <row r="18">
      <c r="A18" s="193" t="n"/>
      <c r="B18" s="301" t="n"/>
      <c r="C18" s="108" t="n"/>
      <c r="D18" s="43" t="n"/>
      <c r="E18" s="43" t="n"/>
      <c r="F18" s="195" t="n"/>
      <c r="G18" s="197" t="n"/>
      <c r="H18" s="197" t="n"/>
      <c r="I18" s="197" t="n"/>
      <c r="J18" s="197" t="n"/>
      <c r="K18" s="197" t="n"/>
      <c r="L18" s="197" t="n"/>
      <c r="M18" s="197" t="n"/>
      <c r="N18" s="197" t="n"/>
      <c r="O18" s="197" t="n"/>
      <c r="P18" s="197" t="n"/>
      <c r="Q18" s="197" t="n"/>
      <c r="R18" s="197" t="n"/>
      <c r="S18" s="197" t="n"/>
      <c r="T18" s="197" t="n"/>
      <c r="U18" s="197" t="n"/>
      <c r="V18" s="197" t="n"/>
      <c r="W18" s="197" t="n"/>
      <c r="X18" s="197" t="n"/>
      <c r="Y18" s="197" t="n"/>
      <c r="Z18" s="197" t="n"/>
      <c r="AA18" s="197" t="n"/>
      <c r="AB18" s="197" t="n"/>
      <c r="AC18" s="191" t="n"/>
      <c r="AD18" s="193" t="n"/>
    </row>
    <row r="19">
      <c r="A19" s="193" t="n"/>
      <c r="B19" s="301" t="n"/>
      <c r="C19" s="108" t="n"/>
      <c r="D19" s="43" t="n"/>
      <c r="E19" s="43" t="n"/>
      <c r="F19" s="195" t="n"/>
      <c r="G19" s="197" t="n"/>
      <c r="H19" s="197" t="n"/>
      <c r="I19" s="197" t="n"/>
      <c r="J19" s="197" t="n"/>
      <c r="K19" s="197" t="n"/>
      <c r="L19" s="197" t="n"/>
      <c r="M19" s="197" t="n"/>
      <c r="N19" s="197" t="n"/>
      <c r="O19" s="197" t="n"/>
      <c r="P19" s="197" t="n"/>
      <c r="Q19" s="197" t="n"/>
      <c r="R19" s="197" t="n"/>
      <c r="S19" s="197" t="n"/>
      <c r="T19" s="197" t="n"/>
      <c r="U19" s="197" t="n"/>
      <c r="V19" s="197" t="n"/>
      <c r="W19" s="197" t="n"/>
      <c r="X19" s="197" t="n"/>
      <c r="Y19" s="197" t="n"/>
      <c r="Z19" s="197" t="n"/>
      <c r="AA19" s="197" t="n"/>
      <c r="AB19" s="197" t="n"/>
      <c r="AC19" s="191" t="n"/>
      <c r="AD19" s="193" t="n"/>
    </row>
    <row r="20">
      <c r="A20" s="193" t="n"/>
      <c r="B20" s="301" t="n"/>
      <c r="C20" s="108" t="n"/>
      <c r="D20" s="43" t="n"/>
      <c r="E20" s="43" t="n"/>
      <c r="F20" s="195" t="n"/>
      <c r="G20" s="197" t="n"/>
      <c r="H20" s="197" t="n"/>
      <c r="I20" s="197" t="n"/>
      <c r="J20" s="197" t="n"/>
      <c r="K20" s="197" t="n"/>
      <c r="L20" s="197" t="n"/>
      <c r="M20" s="197" t="n"/>
      <c r="N20" s="197" t="n"/>
      <c r="O20" s="197" t="n"/>
      <c r="P20" s="197" t="n"/>
      <c r="Q20" s="197" t="n"/>
      <c r="R20" s="197" t="n"/>
      <c r="S20" s="197" t="n"/>
      <c r="T20" s="197" t="n"/>
      <c r="U20" s="197" t="n"/>
      <c r="V20" s="197" t="n"/>
      <c r="W20" s="197" t="n"/>
      <c r="X20" s="197" t="n"/>
      <c r="Y20" s="197" t="n"/>
      <c r="Z20" s="197" t="n"/>
      <c r="AA20" s="197" t="n"/>
      <c r="AB20" s="197" t="n"/>
      <c r="AC20" s="191" t="n"/>
      <c r="AD20" s="193" t="n"/>
    </row>
    <row r="21">
      <c r="A21" s="193" t="n"/>
      <c r="B21" s="301" t="n"/>
      <c r="C21" s="108" t="n"/>
      <c r="D21" s="43" t="n"/>
      <c r="E21" s="43" t="n"/>
      <c r="F21" s="195" t="n"/>
      <c r="G21" s="197" t="n"/>
      <c r="H21" s="197" t="n"/>
      <c r="I21" s="197" t="n"/>
      <c r="J21" s="197" t="n"/>
      <c r="K21" s="197" t="n"/>
      <c r="L21" s="197" t="n"/>
      <c r="M21" s="197" t="n"/>
      <c r="N21" s="197" t="n"/>
      <c r="O21" s="197" t="n"/>
      <c r="P21" s="197" t="n"/>
      <c r="Q21" s="197" t="n"/>
      <c r="R21" s="197" t="n"/>
      <c r="S21" s="197" t="n"/>
      <c r="T21" s="197" t="n"/>
      <c r="U21" s="197" t="n"/>
      <c r="V21" s="197" t="n"/>
      <c r="W21" s="197" t="n"/>
      <c r="X21" s="197" t="n"/>
      <c r="Y21" s="197" t="n"/>
      <c r="Z21" s="197" t="n"/>
      <c r="AA21" s="197" t="n"/>
      <c r="AB21" s="197" t="n"/>
      <c r="AC21" s="191" t="n"/>
      <c r="AD21" s="193" t="n"/>
    </row>
    <row r="22">
      <c r="A22" s="193" t="n"/>
      <c r="B22" s="301" t="n"/>
      <c r="C22" s="108" t="n"/>
      <c r="D22" s="43" t="n"/>
      <c r="E22" s="43" t="n"/>
      <c r="F22" s="195" t="n"/>
      <c r="G22" s="197" t="n"/>
      <c r="H22" s="197" t="n"/>
      <c r="I22" s="197" t="n"/>
      <c r="J22" s="197" t="n"/>
      <c r="K22" s="197" t="n"/>
      <c r="L22" s="197" t="n"/>
      <c r="M22" s="197" t="n"/>
      <c r="N22" s="197" t="n"/>
      <c r="O22" s="197" t="n"/>
      <c r="P22" s="197" t="n"/>
      <c r="Q22" s="197" t="n"/>
      <c r="R22" s="197" t="n"/>
      <c r="S22" s="197" t="n"/>
      <c r="T22" s="197" t="n"/>
      <c r="U22" s="197" t="n"/>
      <c r="V22" s="197" t="n"/>
      <c r="W22" s="197" t="n"/>
      <c r="X22" s="197" t="n"/>
      <c r="Y22" s="197" t="n"/>
      <c r="Z22" s="197" t="n"/>
      <c r="AA22" s="197" t="n"/>
      <c r="AB22" s="197" t="n"/>
      <c r="AC22" s="191" t="n"/>
      <c r="AD22" s="193" t="n"/>
    </row>
    <row r="23">
      <c r="A23" s="193" t="n"/>
      <c r="B23" s="301" t="n"/>
      <c r="C23" s="108" t="n"/>
      <c r="D23" s="43" t="n"/>
      <c r="E23" s="43" t="n"/>
      <c r="F23" s="195" t="n"/>
      <c r="G23" s="197" t="n"/>
      <c r="H23" s="197" t="n"/>
      <c r="I23" s="197" t="n"/>
      <c r="J23" s="197" t="n"/>
      <c r="K23" s="197" t="n"/>
      <c r="L23" s="197" t="n"/>
      <c r="M23" s="197" t="n"/>
      <c r="N23" s="197" t="n"/>
      <c r="O23" s="197" t="n"/>
      <c r="P23" s="197" t="n"/>
      <c r="Q23" s="197" t="n"/>
      <c r="R23" s="197" t="n"/>
      <c r="S23" s="197" t="n"/>
      <c r="T23" s="197" t="n"/>
      <c r="U23" s="197" t="n"/>
      <c r="V23" s="197" t="n"/>
      <c r="W23" s="197" t="n"/>
      <c r="X23" s="197" t="n"/>
      <c r="Y23" s="197" t="n"/>
      <c r="Z23" s="197" t="n"/>
      <c r="AA23" s="197" t="n"/>
      <c r="AB23" s="197" t="n"/>
      <c r="AC23" s="191" t="n"/>
      <c r="AD23" s="193" t="n"/>
    </row>
    <row r="24">
      <c r="B24" s="301" t="n"/>
      <c r="C24" s="108" t="n"/>
      <c r="D24" s="43" t="n"/>
      <c r="E24" s="216" t="n"/>
      <c r="F24" s="217" t="n"/>
      <c r="G24" s="26" t="n"/>
      <c r="H24" s="197" t="n"/>
      <c r="I24" s="197" t="n"/>
      <c r="J24" s="197" t="n"/>
      <c r="K24" s="197" t="n"/>
      <c r="L24" s="197" t="n"/>
      <c r="M24" s="197" t="n"/>
      <c r="N24" s="197" t="n"/>
      <c r="O24" s="197" t="n"/>
      <c r="P24" s="197" t="n"/>
      <c r="Q24" s="197" t="n"/>
      <c r="R24" s="197" t="n"/>
      <c r="S24" s="197" t="n"/>
      <c r="T24" s="197" t="n"/>
      <c r="U24" s="197" t="n"/>
      <c r="V24" s="197" t="n"/>
      <c r="W24" s="197" t="n"/>
      <c r="X24" s="197" t="n"/>
      <c r="Y24" s="197" t="n"/>
      <c r="Z24" s="197" t="n"/>
      <c r="AA24" s="197" t="n"/>
      <c r="AB24" s="197" t="n"/>
      <c r="AC24" s="218" t="n"/>
      <c r="AD24" s="26" t="n"/>
    </row>
    <row r="25">
      <c r="B25" s="26" t="n"/>
      <c r="D25" s="219" t="n"/>
      <c r="F25" s="220" t="n"/>
      <c r="G25" s="221" t="n"/>
      <c r="H25" s="221" t="n"/>
      <c r="I25" s="221" t="n"/>
      <c r="J25" s="221" t="n"/>
      <c r="K25" s="221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1" t="n"/>
      <c r="Y25" s="221" t="n"/>
      <c r="Z25" s="221" t="n"/>
      <c r="AA25" s="221" t="n"/>
      <c r="AB25" s="222" t="n"/>
    </row>
    <row r="26">
      <c r="B26" s="26" t="n"/>
      <c r="D26" s="219" t="n"/>
      <c r="F26" s="223" t="n"/>
      <c r="G26" s="224" t="n"/>
      <c r="H26" s="224" t="n"/>
      <c r="I26" s="224" t="n"/>
      <c r="J26" s="224" t="n"/>
      <c r="K26" s="224" t="n"/>
      <c r="L26" s="224" t="n"/>
      <c r="M26" s="224" t="n"/>
      <c r="N26" s="224" t="n"/>
      <c r="O26" s="224" t="n"/>
      <c r="P26" s="224" t="n"/>
      <c r="Q26" s="224" t="n"/>
      <c r="R26" s="224" t="n"/>
      <c r="S26" s="224" t="n"/>
      <c r="T26" s="224" t="n"/>
      <c r="U26" s="224" t="n"/>
      <c r="V26" s="224" t="n"/>
      <c r="W26" s="224" t="n"/>
      <c r="X26" s="224" t="n"/>
      <c r="Y26" s="224" t="n"/>
      <c r="Z26" s="224" t="n"/>
      <c r="AA26" s="224" t="n"/>
      <c r="AB26" s="225" t="n"/>
      <c r="AC26" s="26" t="n"/>
    </row>
    <row r="27">
      <c r="B27" s="26" t="n"/>
      <c r="D27" s="26" t="n"/>
    </row>
    <row r="28">
      <c r="A28" s="208" t="n"/>
      <c r="B28" s="226" t="n"/>
      <c r="C28" s="208" t="n"/>
      <c r="D28" s="226" t="n"/>
      <c r="E28" s="208" t="n"/>
    </row>
    <row r="29">
      <c r="A29" s="208" t="n"/>
      <c r="B29" s="227" t="n"/>
      <c r="C29" s="227" t="n"/>
      <c r="D29" s="227" t="n"/>
      <c r="E29" s="227" t="n"/>
      <c r="F29" s="208" t="n"/>
      <c r="G29" s="228" t="n"/>
      <c r="H29" s="228" t="n"/>
      <c r="I29" s="228" t="n"/>
      <c r="J29" s="228" t="n"/>
      <c r="K29" s="228" t="n"/>
    </row>
    <row r="30">
      <c r="A30" s="208" t="n"/>
      <c r="B30" s="229" t="n"/>
      <c r="C30" s="229" t="n"/>
      <c r="D30" s="229" t="n"/>
      <c r="E30" s="229" t="n"/>
      <c r="F30" s="208" t="n"/>
      <c r="G30" s="228" t="n"/>
      <c r="H30" s="228" t="n"/>
      <c r="I30" s="228" t="n"/>
      <c r="J30" s="228" t="n"/>
      <c r="K30" s="228" t="n"/>
    </row>
    <row r="31">
      <c r="A31" s="208" t="n"/>
      <c r="B31" s="229" t="n"/>
      <c r="C31" s="229" t="n"/>
      <c r="D31" s="229" t="n"/>
      <c r="E31" s="229" t="n"/>
      <c r="F31" s="208" t="n"/>
      <c r="G31" s="228" t="n"/>
      <c r="H31" s="228" t="n"/>
      <c r="I31" s="228" t="n"/>
      <c r="J31" s="228" t="n"/>
      <c r="K31" s="228" t="n"/>
    </row>
    <row r="32">
      <c r="A32" s="208" t="n"/>
      <c r="B32" s="229" t="n"/>
      <c r="C32" s="229" t="n"/>
      <c r="D32" s="229" t="n"/>
      <c r="E32" s="229" t="n"/>
      <c r="F32" s="208" t="n"/>
      <c r="G32" s="228" t="n"/>
      <c r="H32" s="228" t="n"/>
      <c r="I32" s="228" t="n"/>
      <c r="J32" s="228" t="n"/>
      <c r="K32" s="228" t="n"/>
    </row>
    <row r="33">
      <c r="A33" s="208" t="n"/>
      <c r="B33" s="229" t="n"/>
      <c r="C33" s="229" t="n"/>
      <c r="D33" s="229" t="n"/>
      <c r="E33" s="229" t="n"/>
      <c r="F33" s="208" t="n"/>
      <c r="G33" s="228" t="n"/>
      <c r="H33" s="228" t="n"/>
      <c r="I33" s="228" t="n"/>
      <c r="J33" s="228" t="n"/>
      <c r="K33" s="228" t="n"/>
    </row>
    <row r="34">
      <c r="A34" s="208" t="n"/>
      <c r="B34" s="229" t="n"/>
      <c r="C34" s="229" t="n"/>
      <c r="D34" s="229" t="n"/>
      <c r="E34" s="229" t="n"/>
      <c r="F34" s="208" t="n"/>
      <c r="G34" s="228" t="n"/>
      <c r="H34" s="228" t="n"/>
      <c r="I34" s="228" t="n"/>
      <c r="J34" s="228" t="n"/>
      <c r="K34" s="228" t="n"/>
    </row>
    <row r="35">
      <c r="A35" s="208" t="n"/>
      <c r="B35" s="229" t="n"/>
      <c r="C35" s="229" t="n"/>
      <c r="D35" s="229" t="n"/>
      <c r="E35" s="229" t="n"/>
      <c r="G35" s="228" t="n"/>
      <c r="H35" s="228" t="n"/>
      <c r="I35" s="228" t="n"/>
      <c r="J35" s="228" t="n"/>
      <c r="K35" s="228" t="n"/>
    </row>
    <row r="36">
      <c r="A36" s="208" t="n"/>
      <c r="B36" s="229" t="n"/>
      <c r="C36" s="229" t="n"/>
      <c r="D36" s="229" t="n"/>
      <c r="E36" s="229" t="n"/>
      <c r="F36" s="208" t="n"/>
      <c r="G36" s="228" t="n"/>
      <c r="H36" s="228" t="n"/>
      <c r="I36" s="228" t="n"/>
      <c r="J36" s="228" t="n"/>
      <c r="K36" s="228" t="n"/>
    </row>
    <row r="37">
      <c r="A37" s="208" t="n"/>
      <c r="B37" s="229" t="n"/>
      <c r="C37" s="229" t="n"/>
      <c r="D37" s="229" t="n"/>
      <c r="E37" s="229" t="n"/>
      <c r="G37" s="228" t="n"/>
      <c r="H37" s="228" t="n"/>
      <c r="I37" s="228" t="n"/>
      <c r="J37" s="228" t="n"/>
      <c r="K37" s="228" t="n"/>
    </row>
    <row r="38">
      <c r="A38" s="208" t="n"/>
      <c r="B38" s="229" t="n"/>
      <c r="C38" s="229" t="n"/>
      <c r="D38" s="229" t="n"/>
      <c r="E38" s="229" t="n"/>
      <c r="F38" s="208" t="n"/>
      <c r="G38" s="228" t="n"/>
      <c r="H38" s="228" t="n"/>
      <c r="I38" s="228" t="n"/>
      <c r="J38" s="228" t="n"/>
      <c r="K38" s="228" t="n"/>
    </row>
    <row r="39">
      <c r="A39" s="208" t="n"/>
      <c r="B39" s="229" t="n"/>
      <c r="C39" s="229" t="n"/>
      <c r="D39" s="229" t="n"/>
      <c r="E39" s="229" t="n"/>
      <c r="F39" s="208" t="n"/>
      <c r="G39" s="228" t="n"/>
      <c r="H39" s="228" t="n"/>
      <c r="I39" s="228" t="n"/>
      <c r="J39" s="228" t="n"/>
      <c r="K39" s="228" t="n"/>
    </row>
    <row r="40">
      <c r="A40" s="208" t="n"/>
      <c r="B40" s="229" t="n"/>
      <c r="C40" s="229" t="n"/>
      <c r="D40" s="229" t="n"/>
      <c r="E40" s="229" t="n"/>
      <c r="F40" s="208" t="n"/>
      <c r="G40" s="228" t="n"/>
      <c r="H40" s="228" t="n"/>
      <c r="I40" s="228" t="n"/>
      <c r="J40" s="228" t="n"/>
      <c r="K40" s="228" t="n"/>
    </row>
    <row r="41">
      <c r="A41" s="208" t="n"/>
      <c r="B41" s="229" t="n"/>
      <c r="C41" s="229" t="n"/>
      <c r="D41" s="229" t="n"/>
      <c r="E41" s="229" t="n"/>
      <c r="F41" s="208" t="n"/>
      <c r="G41" s="228" t="n"/>
      <c r="H41" s="228" t="n"/>
      <c r="I41" s="228" t="n"/>
      <c r="J41" s="228" t="n"/>
      <c r="K41" s="228" t="n"/>
    </row>
    <row r="42">
      <c r="A42" s="208" t="n"/>
      <c r="B42" s="229" t="n"/>
      <c r="C42" s="229" t="n"/>
      <c r="D42" s="229" t="n"/>
      <c r="E42" s="229" t="n"/>
      <c r="F42" s="208" t="n"/>
      <c r="G42" s="228" t="n"/>
      <c r="H42" s="228" t="n"/>
      <c r="I42" s="228" t="n"/>
      <c r="J42" s="228" t="n"/>
      <c r="K42" s="228" t="n"/>
    </row>
    <row r="43">
      <c r="A43" s="208" t="n"/>
      <c r="B43" s="229" t="n"/>
      <c r="C43" s="229" t="n"/>
      <c r="D43" s="229" t="n"/>
      <c r="E43" s="229" t="n"/>
      <c r="F43" s="208" t="n"/>
      <c r="G43" s="228" t="n"/>
      <c r="H43" s="228" t="n"/>
      <c r="I43" s="228" t="n"/>
      <c r="J43" s="228" t="n"/>
      <c r="K43" s="228" t="n"/>
    </row>
    <row r="44">
      <c r="A44" s="208" t="n"/>
      <c r="B44" s="229" t="n"/>
      <c r="C44" s="229" t="n"/>
      <c r="D44" s="229" t="n"/>
      <c r="E44" s="229" t="n"/>
      <c r="F44" s="208" t="n"/>
    </row>
    <row r="45">
      <c r="A45" s="208" t="n"/>
      <c r="B45" s="229" t="n"/>
      <c r="C45" s="229" t="n"/>
      <c r="D45" s="229" t="n"/>
      <c r="E45" s="229" t="n"/>
      <c r="F45" s="208" t="n"/>
    </row>
    <row r="46">
      <c r="A46" s="208" t="n"/>
      <c r="B46" s="229" t="n"/>
      <c r="C46" s="229" t="n"/>
      <c r="D46" s="229" t="n"/>
      <c r="E46" s="229" t="n"/>
      <c r="F46" s="208" t="n"/>
    </row>
    <row r="47">
      <c r="A47" s="208" t="n"/>
      <c r="B47" s="229" t="n"/>
      <c r="C47" s="229" t="n"/>
      <c r="D47" s="229" t="n"/>
      <c r="E47" s="229" t="n"/>
      <c r="F47" s="208" t="n"/>
    </row>
    <row r="48">
      <c r="A48" s="208" t="n"/>
      <c r="B48" s="229" t="n"/>
      <c r="C48" s="229" t="n"/>
      <c r="D48" s="229" t="n"/>
      <c r="E48" s="229" t="n"/>
      <c r="F48" s="208" t="n"/>
    </row>
    <row r="49">
      <c r="A49" s="208" t="n"/>
      <c r="B49" s="229" t="n"/>
      <c r="C49" s="229" t="n"/>
      <c r="D49" s="229" t="n"/>
      <c r="E49" s="229" t="n"/>
      <c r="F49" s="208" t="n"/>
    </row>
    <row r="50">
      <c r="A50" s="208" t="n"/>
      <c r="B50" s="229" t="n"/>
      <c r="C50" s="229" t="n"/>
      <c r="D50" s="229" t="n"/>
      <c r="E50" s="229" t="n"/>
      <c r="F50" s="208" t="n"/>
    </row>
    <row r="51">
      <c r="A51" s="208" t="n"/>
      <c r="B51" s="229" t="n"/>
      <c r="C51" s="229" t="n"/>
      <c r="D51" s="229" t="n"/>
      <c r="E51" s="229" t="n"/>
      <c r="F51" s="208" t="n"/>
    </row>
    <row r="52">
      <c r="A52" s="208" t="n"/>
      <c r="B52" s="229" t="n"/>
      <c r="C52" s="229" t="n"/>
      <c r="D52" s="229" t="n"/>
      <c r="E52" s="229" t="n"/>
      <c r="F52" s="208" t="n"/>
    </row>
    <row r="53">
      <c r="A53" s="208" t="n"/>
      <c r="B53" s="226" t="n"/>
      <c r="F53" s="208" t="n"/>
    </row>
    <row r="54">
      <c r="A54" s="208" t="n"/>
      <c r="B54" s="226" t="n"/>
      <c r="C54" s="208" t="n"/>
      <c r="D54" s="226" t="n"/>
      <c r="E54" s="208" t="n"/>
      <c r="F54" s="208" t="n"/>
    </row>
    <row r="55">
      <c r="A55" s="208" t="n"/>
      <c r="B55" s="226" t="n"/>
      <c r="C55" s="208" t="n"/>
      <c r="D55" s="226" t="n"/>
      <c r="E55" s="208" t="n"/>
      <c r="F55" s="208" t="n"/>
    </row>
    <row r="56">
      <c r="A56" s="208" t="n"/>
      <c r="B56" s="226" t="n"/>
      <c r="C56" s="208" t="n"/>
      <c r="D56" s="226" t="n"/>
      <c r="E56" s="208" t="n"/>
      <c r="F56" s="208" t="n"/>
    </row>
    <row r="57">
      <c r="A57" s="208" t="n"/>
      <c r="B57" s="226" t="n"/>
      <c r="C57" s="208" t="n"/>
      <c r="D57" s="226" t="n"/>
      <c r="E57" s="208" t="n"/>
      <c r="F57" s="208" t="n"/>
    </row>
    <row r="58">
      <c r="A58" s="208" t="n"/>
      <c r="B58" s="226" t="n"/>
      <c r="C58" s="208" t="n"/>
      <c r="D58" s="226" t="n"/>
      <c r="E58" s="208" t="n"/>
      <c r="F58" s="208" t="n"/>
    </row>
    <row r="59">
      <c r="A59" s="208" t="n"/>
      <c r="B59" s="226" t="n"/>
      <c r="C59" s="208" t="n"/>
      <c r="D59" s="226" t="n"/>
      <c r="E59" s="208" t="n"/>
      <c r="F59" s="208" t="n"/>
    </row>
    <row r="60">
      <c r="A60" s="208" t="n"/>
      <c r="B60" s="226" t="n"/>
      <c r="C60" s="208" t="n"/>
      <c r="D60" s="226" t="n"/>
      <c r="E60" s="208" t="n"/>
      <c r="F60" s="208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F2:AB2"/>
    <mergeCell ref="F4:AB4"/>
  </mergeCells>
  <conditionalFormatting sqref="F5:AB24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75" customWidth="1" style="463" min="1" max="1"/>
    <col width="5.88" customWidth="1" style="463" min="2" max="2"/>
    <col width="4.38" customWidth="1" style="463" min="3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inlineStr">
        <is>
          <t xml:space="preserve"> </t>
        </is>
      </c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179" t="n"/>
      <c r="C2" s="181" t="inlineStr">
        <is>
          <t>RP1</t>
        </is>
      </c>
      <c r="D2" s="181" t="inlineStr">
        <is>
          <t>RP2</t>
        </is>
      </c>
      <c r="E2" s="181" t="inlineStr">
        <is>
          <t>RP3</t>
        </is>
      </c>
      <c r="F2" s="181" t="inlineStr">
        <is>
          <t>RP4</t>
        </is>
      </c>
      <c r="G2" s="181" t="inlineStr">
        <is>
          <t>RP5</t>
        </is>
      </c>
      <c r="H2" s="181" t="inlineStr">
        <is>
          <t>RP6</t>
        </is>
      </c>
      <c r="I2" s="181" t="inlineStr">
        <is>
          <t>RP7</t>
        </is>
      </c>
      <c r="J2" s="181" t="inlineStr">
        <is>
          <t>RP8</t>
        </is>
      </c>
      <c r="K2" s="181" t="inlineStr">
        <is>
          <t>RP9</t>
        </is>
      </c>
      <c r="L2" s="181" t="inlineStr">
        <is>
          <t>RP10</t>
        </is>
      </c>
      <c r="M2" s="181" t="inlineStr">
        <is>
          <t>RP11</t>
        </is>
      </c>
      <c r="N2" s="181" t="inlineStr">
        <is>
          <t>RP12</t>
        </is>
      </c>
      <c r="O2" s="181" t="inlineStr">
        <is>
          <t>RP13</t>
        </is>
      </c>
      <c r="P2" s="181" t="inlineStr">
        <is>
          <t>RP14</t>
        </is>
      </c>
      <c r="Q2" s="181" t="inlineStr">
        <is>
          <t>RP15</t>
        </is>
      </c>
      <c r="R2" s="181" t="inlineStr">
        <is>
          <t>RP16</t>
        </is>
      </c>
      <c r="S2" s="181" t="inlineStr">
        <is>
          <t>RP17</t>
        </is>
      </c>
      <c r="T2" s="181" t="inlineStr">
        <is>
          <t>RP18</t>
        </is>
      </c>
      <c r="U2" s="181" t="inlineStr">
        <is>
          <t>RP19</t>
        </is>
      </c>
      <c r="V2" s="181" t="inlineStr">
        <is>
          <t>RP20</t>
        </is>
      </c>
      <c r="W2" s="181" t="inlineStr">
        <is>
          <t>RP21</t>
        </is>
      </c>
      <c r="X2" s="181" t="inlineStr">
        <is>
          <t>RP22</t>
        </is>
      </c>
      <c r="Y2" s="184" t="inlineStr">
        <is>
          <t>RP23</t>
        </is>
      </c>
      <c r="Z2" s="167" t="n"/>
      <c r="AA2" s="167" t="n"/>
      <c r="AB2" s="167" t="n"/>
      <c r="AC2" s="185" t="n"/>
      <c r="AD2" s="186" t="n"/>
      <c r="AE2" s="186" t="n"/>
    </row>
    <row r="3" ht="25.5" customHeight="1" s="463">
      <c r="A3" s="173" t="n"/>
      <c r="B3" s="187" t="n"/>
      <c r="C3" s="188" t="n"/>
      <c r="D3" s="189" t="n"/>
      <c r="E3" s="189" t="n"/>
      <c r="F3" s="189" t="n"/>
      <c r="G3" s="189" t="n"/>
      <c r="H3" s="189" t="n"/>
      <c r="I3" s="189" t="n"/>
      <c r="J3" s="189" t="n"/>
      <c r="K3" s="189" t="n"/>
      <c r="L3" s="189" t="n"/>
      <c r="M3" s="189" t="n"/>
      <c r="N3" s="189" t="n"/>
      <c r="O3" s="190" t="n"/>
      <c r="P3" s="190" t="n"/>
      <c r="Q3" s="190" t="n"/>
      <c r="R3" s="190" t="n"/>
      <c r="S3" s="190" t="n"/>
      <c r="T3" s="190" t="n"/>
      <c r="U3" s="190" t="n"/>
      <c r="V3" s="190" t="n"/>
      <c r="W3" s="190" t="n"/>
      <c r="X3" s="190" t="n"/>
      <c r="Y3" s="192" t="n"/>
      <c r="Z3" s="167" t="n"/>
      <c r="AA3" s="194" t="n"/>
      <c r="AB3" s="167" t="n"/>
      <c r="AC3" s="196" t="n"/>
      <c r="AD3" s="32" t="n"/>
      <c r="AE3" s="43" t="n"/>
    </row>
    <row r="4" ht="25.5" customHeight="1" s="463">
      <c r="A4" s="173" t="n"/>
      <c r="B4" s="187" t="n"/>
      <c r="C4" s="198" t="n"/>
      <c r="D4" s="188" t="n"/>
      <c r="E4" s="189" t="n"/>
      <c r="F4" s="189" t="n"/>
      <c r="G4" s="189" t="n"/>
      <c r="H4" s="189" t="n"/>
      <c r="I4" s="189" t="n"/>
      <c r="J4" s="189" t="n"/>
      <c r="K4" s="189" t="n"/>
      <c r="L4" s="189" t="n"/>
      <c r="M4" s="189" t="n"/>
      <c r="N4" s="189" t="n"/>
      <c r="O4" s="190" t="n"/>
      <c r="P4" s="190" t="n"/>
      <c r="Q4" s="190" t="n"/>
      <c r="R4" s="190" t="n"/>
      <c r="S4" s="190" t="n"/>
      <c r="T4" s="190" t="n"/>
      <c r="U4" s="190" t="n"/>
      <c r="V4" s="190" t="n"/>
      <c r="W4" s="190" t="n"/>
      <c r="X4" s="190" t="n"/>
      <c r="Y4" s="192" t="n"/>
      <c r="AA4" s="199" t="n"/>
      <c r="AB4" s="167" t="n"/>
      <c r="AC4" s="196" t="n"/>
      <c r="AD4" s="32" t="n"/>
      <c r="AE4" s="43" t="n"/>
    </row>
    <row r="5" ht="25.5" customHeight="1" s="463">
      <c r="A5" s="173" t="n"/>
      <c r="B5" s="187" t="n"/>
      <c r="C5" s="198" t="n"/>
      <c r="D5" s="200" t="n"/>
      <c r="E5" s="188" t="n"/>
      <c r="F5" s="189" t="n"/>
      <c r="G5" s="189" t="n"/>
      <c r="H5" s="189" t="n"/>
      <c r="I5" s="189" t="n"/>
      <c r="J5" s="189" t="n"/>
      <c r="K5" s="189" t="n"/>
      <c r="L5" s="189" t="n"/>
      <c r="M5" s="189" t="n"/>
      <c r="N5" s="189" t="n"/>
      <c r="O5" s="190" t="n"/>
      <c r="P5" s="190" t="n"/>
      <c r="Q5" s="190" t="n"/>
      <c r="R5" s="190" t="n"/>
      <c r="S5" s="190" t="n"/>
      <c r="T5" s="190" t="n"/>
      <c r="U5" s="190" t="n"/>
      <c r="V5" s="190" t="n"/>
      <c r="W5" s="190" t="n"/>
      <c r="X5" s="190" t="n"/>
      <c r="Y5" s="192" t="n"/>
      <c r="AA5" s="199" t="n"/>
      <c r="AB5" s="206" t="n"/>
      <c r="AC5" s="202" t="n"/>
      <c r="AD5" s="203" t="n"/>
      <c r="AE5" s="204" t="n"/>
    </row>
    <row r="6" ht="25.5" customHeight="1" s="463">
      <c r="A6" s="173" t="n"/>
      <c r="B6" s="187" t="n"/>
      <c r="C6" s="198" t="n"/>
      <c r="D6" s="200" t="n"/>
      <c r="E6" s="200" t="n"/>
      <c r="F6" s="188" t="n"/>
      <c r="G6" s="189" t="n"/>
      <c r="H6" s="189" t="n"/>
      <c r="I6" s="189" t="n"/>
      <c r="J6" s="189" t="n"/>
      <c r="K6" s="189" t="n"/>
      <c r="L6" s="189" t="n"/>
      <c r="M6" s="189" t="n"/>
      <c r="N6" s="189" t="n"/>
      <c r="O6" s="190" t="n"/>
      <c r="P6" s="190" t="n"/>
      <c r="Q6" s="190" t="n"/>
      <c r="R6" s="190" t="n"/>
      <c r="S6" s="190" t="n"/>
      <c r="T6" s="190" t="n"/>
      <c r="U6" s="190" t="n"/>
      <c r="V6" s="190" t="n"/>
      <c r="W6" s="190" t="n"/>
      <c r="X6" s="190" t="n"/>
      <c r="Y6" s="192" t="n"/>
      <c r="AA6" s="205" t="n"/>
      <c r="AB6" s="206" t="n"/>
      <c r="AC6" s="202" t="n"/>
      <c r="AD6" s="203" t="n"/>
      <c r="AE6" s="204" t="n"/>
    </row>
    <row r="7" ht="25.5" customHeight="1" s="463">
      <c r="A7" s="173" t="n"/>
      <c r="B7" s="187" t="n"/>
      <c r="C7" s="198" t="n"/>
      <c r="D7" s="200" t="n"/>
      <c r="E7" s="200" t="n"/>
      <c r="F7" s="200" t="n"/>
      <c r="G7" s="188" t="n"/>
      <c r="H7" s="189" t="n"/>
      <c r="I7" s="189" t="n"/>
      <c r="J7" s="189" t="n"/>
      <c r="K7" s="189" t="n"/>
      <c r="L7" s="189" t="n"/>
      <c r="M7" s="189" t="n"/>
      <c r="N7" s="189" t="n"/>
      <c r="O7" s="190" t="n"/>
      <c r="P7" s="190" t="n"/>
      <c r="Q7" s="190" t="n"/>
      <c r="R7" s="190" t="n"/>
      <c r="S7" s="190" t="n"/>
      <c r="T7" s="190" t="n"/>
      <c r="U7" s="190" t="n"/>
      <c r="V7" s="190" t="n"/>
      <c r="W7" s="190" t="n"/>
      <c r="X7" s="190" t="n"/>
      <c r="Y7" s="192" t="n"/>
      <c r="Z7" s="174" t="n"/>
      <c r="AA7" s="167" t="n"/>
      <c r="AB7" s="167" t="n"/>
      <c r="AC7" s="196" t="n"/>
      <c r="AD7" s="32" t="n"/>
      <c r="AE7" s="204" t="n"/>
    </row>
    <row r="8" ht="25.5" customHeight="1" s="463">
      <c r="A8" s="173" t="n"/>
      <c r="B8" s="187" t="n"/>
      <c r="C8" s="198" t="n"/>
      <c r="D8" s="200" t="n"/>
      <c r="E8" s="200" t="n"/>
      <c r="F8" s="200" t="n"/>
      <c r="G8" s="200" t="n"/>
      <c r="H8" s="188" t="n"/>
      <c r="I8" s="189" t="n"/>
      <c r="J8" s="189" t="n"/>
      <c r="K8" s="189" t="n"/>
      <c r="L8" s="189" t="n"/>
      <c r="M8" s="189" t="n"/>
      <c r="N8" s="189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2" t="n"/>
      <c r="Z8" s="174" t="n"/>
      <c r="AA8" s="167" t="n"/>
      <c r="AB8" s="167" t="n"/>
      <c r="AC8" s="196" t="n"/>
      <c r="AD8" s="32" t="n"/>
      <c r="AE8" s="43" t="n"/>
    </row>
    <row r="9" ht="25.5" customHeight="1" s="463">
      <c r="A9" s="173" t="n"/>
      <c r="B9" s="187" t="n"/>
      <c r="C9" s="198" t="n"/>
      <c r="D9" s="200" t="n"/>
      <c r="E9" s="200" t="n"/>
      <c r="F9" s="200" t="n"/>
      <c r="G9" s="200" t="n"/>
      <c r="H9" s="200" t="n"/>
      <c r="I9" s="188" t="n"/>
      <c r="J9" s="189" t="n"/>
      <c r="K9" s="189" t="n"/>
      <c r="L9" s="189" t="n"/>
      <c r="M9" s="189" t="n"/>
      <c r="N9" s="189" t="n"/>
      <c r="O9" s="190" t="n"/>
      <c r="P9" s="190" t="n"/>
      <c r="Q9" s="190" t="n"/>
      <c r="R9" s="190" t="n"/>
      <c r="S9" s="190" t="n"/>
      <c r="T9" s="190" t="n"/>
      <c r="U9" s="190" t="n"/>
      <c r="V9" s="190" t="n"/>
      <c r="W9" s="190" t="n"/>
      <c r="X9" s="190" t="n"/>
      <c r="Y9" s="192" t="n"/>
      <c r="Z9" s="174" t="n"/>
      <c r="AA9" s="167" t="n"/>
      <c r="AB9" s="167" t="n"/>
      <c r="AC9" s="196" t="n"/>
      <c r="AD9" s="32" t="n"/>
      <c r="AE9" s="43" t="n"/>
    </row>
    <row r="10" ht="25.5" customHeight="1" s="463">
      <c r="A10" s="173" t="n"/>
      <c r="B10" s="187" t="n"/>
      <c r="C10" s="198" t="n"/>
      <c r="D10" s="200" t="n"/>
      <c r="E10" s="200" t="n"/>
      <c r="F10" s="200" t="n"/>
      <c r="G10" s="200" t="n"/>
      <c r="H10" s="200" t="n"/>
      <c r="I10" s="200" t="n"/>
      <c r="J10" s="188" t="n"/>
      <c r="K10" s="189" t="n"/>
      <c r="L10" s="189" t="n"/>
      <c r="M10" s="189" t="n"/>
      <c r="N10" s="189" t="n"/>
      <c r="O10" s="190" t="n"/>
      <c r="P10" s="190" t="n"/>
      <c r="Q10" s="190" t="n"/>
      <c r="R10" s="190" t="n"/>
      <c r="S10" s="190" t="n"/>
      <c r="T10" s="190" t="n"/>
      <c r="U10" s="190" t="n"/>
      <c r="V10" s="190" t="n"/>
      <c r="W10" s="190" t="n"/>
      <c r="X10" s="190" t="n"/>
      <c r="Y10" s="192" t="n"/>
      <c r="Z10" s="174" t="n"/>
      <c r="AA10" s="167" t="n"/>
      <c r="AB10" s="167" t="n"/>
      <c r="AC10" s="196" t="n"/>
      <c r="AD10" s="32" t="n"/>
      <c r="AE10" s="43" t="n"/>
    </row>
    <row r="11" ht="25.5" customHeight="1" s="463">
      <c r="A11" s="173" t="n"/>
      <c r="B11" s="187" t="n"/>
      <c r="C11" s="198" t="n"/>
      <c r="D11" s="200" t="n"/>
      <c r="E11" s="200" t="n"/>
      <c r="F11" s="200" t="n"/>
      <c r="G11" s="200" t="n"/>
      <c r="H11" s="200" t="n"/>
      <c r="I11" s="200" t="n"/>
      <c r="J11" s="200" t="n"/>
      <c r="K11" s="188" t="n"/>
      <c r="L11" s="189" t="n"/>
      <c r="M11" s="189" t="n"/>
      <c r="N11" s="189" t="n"/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2" t="n"/>
      <c r="Z11" s="174" t="n"/>
      <c r="AA11" s="167" t="n"/>
      <c r="AB11" s="167" t="n"/>
      <c r="AC11" s="196" t="n"/>
      <c r="AD11" s="32" t="n"/>
      <c r="AE11" s="43" t="n"/>
    </row>
    <row r="12" ht="25.5" customHeight="1" s="463">
      <c r="A12" s="173" t="n"/>
      <c r="B12" s="187" t="n"/>
      <c r="C12" s="198" t="n"/>
      <c r="D12" s="200" t="n"/>
      <c r="E12" s="200" t="n"/>
      <c r="F12" s="200" t="n"/>
      <c r="G12" s="200" t="n"/>
      <c r="H12" s="200" t="n"/>
      <c r="I12" s="200" t="n"/>
      <c r="J12" s="200" t="n"/>
      <c r="K12" s="200" t="n"/>
      <c r="L12" s="188" t="n"/>
      <c r="M12" s="189" t="n"/>
      <c r="N12" s="189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89" t="n"/>
      <c r="X12" s="190" t="n"/>
      <c r="Y12" s="192" t="n"/>
      <c r="Z12" s="174" t="n"/>
      <c r="AA12" s="167" t="n"/>
      <c r="AB12" s="167" t="n"/>
      <c r="AC12" s="196" t="n"/>
      <c r="AD12" s="32" t="n"/>
      <c r="AE12" s="43" t="n"/>
    </row>
    <row r="13" ht="25.5" customHeight="1" s="463">
      <c r="A13" s="173" t="n"/>
      <c r="B13" s="187" t="n"/>
      <c r="C13" s="198" t="n"/>
      <c r="D13" s="200" t="n"/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188" t="n"/>
      <c r="N13" s="189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89" t="n"/>
      <c r="X13" s="190" t="n"/>
      <c r="Y13" s="192" t="n"/>
      <c r="Z13" s="174" t="n"/>
      <c r="AA13" s="167" t="n"/>
      <c r="AB13" s="167" t="n"/>
      <c r="AC13" s="196" t="n"/>
      <c r="AD13" s="32" t="n"/>
      <c r="AE13" s="43" t="n"/>
    </row>
    <row r="14" ht="25.5" customHeight="1" s="463">
      <c r="A14" s="173" t="n"/>
      <c r="B14" s="187" t="n"/>
      <c r="C14" s="198" t="n"/>
      <c r="D14" s="200" t="n"/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188" t="n"/>
      <c r="O14" s="190" t="n"/>
      <c r="P14" s="190" t="n"/>
      <c r="Q14" s="190" t="n"/>
      <c r="R14" s="190" t="n"/>
      <c r="S14" s="190" t="n"/>
      <c r="T14" s="190" t="n"/>
      <c r="U14" s="190" t="n"/>
      <c r="V14" s="190" t="n"/>
      <c r="W14" s="189" t="n"/>
      <c r="X14" s="189" t="n"/>
      <c r="Y14" s="192" t="n"/>
      <c r="Z14" s="174" t="n"/>
      <c r="AA14" s="167" t="n"/>
      <c r="AB14" s="167" t="n"/>
      <c r="AC14" s="196" t="n"/>
      <c r="AD14" s="32" t="n"/>
      <c r="AE14" s="43" t="n"/>
    </row>
    <row r="15" ht="25.5" customHeight="1" s="463">
      <c r="A15" s="173" t="n"/>
      <c r="B15" s="187" t="n"/>
      <c r="C15" s="198" t="n"/>
      <c r="D15" s="200" t="n"/>
      <c r="E15" s="200" t="n"/>
      <c r="F15" s="200" t="n"/>
      <c r="G15" s="200" t="n"/>
      <c r="H15" s="200" t="n"/>
      <c r="I15" s="200" t="n"/>
      <c r="J15" s="200" t="n"/>
      <c r="K15" s="200" t="n"/>
      <c r="L15" s="200" t="n"/>
      <c r="M15" s="200" t="n"/>
      <c r="N15" s="200" t="n"/>
      <c r="O15" s="188" t="n"/>
      <c r="P15" s="190" t="n"/>
      <c r="Q15" s="190" t="n"/>
      <c r="R15" s="190" t="n"/>
      <c r="S15" s="190" t="n"/>
      <c r="T15" s="189" t="n"/>
      <c r="U15" s="190" t="n"/>
      <c r="V15" s="190" t="n"/>
      <c r="W15" s="190" t="n"/>
      <c r="X15" s="189" t="n"/>
      <c r="Y15" s="207" t="n"/>
      <c r="Z15" s="174" t="n"/>
      <c r="AA15" s="167" t="n"/>
      <c r="AB15" s="167" t="n"/>
      <c r="AC15" s="196" t="n"/>
      <c r="AD15" s="32" t="n"/>
      <c r="AE15" s="43" t="n"/>
    </row>
    <row r="16" ht="25.5" customHeight="1" s="463">
      <c r="A16" s="173" t="n"/>
      <c r="B16" s="187" t="n"/>
      <c r="C16" s="198" t="n"/>
      <c r="D16" s="200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188" t="n"/>
      <c r="P16" s="188" t="n"/>
      <c r="Q16" s="190" t="n"/>
      <c r="R16" s="190" t="n"/>
      <c r="S16" s="190" t="n"/>
      <c r="T16" s="189" t="n"/>
      <c r="U16" s="190" t="n"/>
      <c r="V16" s="190" t="n"/>
      <c r="W16" s="189" t="n"/>
      <c r="X16" s="189" t="n"/>
      <c r="Y16" s="207" t="n"/>
      <c r="Z16" s="174" t="n"/>
      <c r="AA16" s="167" t="n"/>
      <c r="AB16" s="167" t="n"/>
      <c r="AC16" s="196" t="n"/>
      <c r="AD16" s="32" t="n"/>
      <c r="AE16" s="43" t="n"/>
    </row>
    <row r="17" ht="25.5" customHeight="1" s="463">
      <c r="A17" s="173" t="n"/>
      <c r="B17" s="187" t="n"/>
      <c r="C17" s="198" t="n"/>
      <c r="D17" s="200" t="n"/>
      <c r="E17" s="200" t="n"/>
      <c r="F17" s="200" t="n"/>
      <c r="G17" s="200" t="n"/>
      <c r="H17" s="200" t="n"/>
      <c r="I17" s="200" t="n"/>
      <c r="J17" s="200" t="n"/>
      <c r="K17" s="200" t="n"/>
      <c r="L17" s="200" t="n"/>
      <c r="M17" s="200" t="n"/>
      <c r="N17" s="200" t="n"/>
      <c r="O17" s="188" t="n"/>
      <c r="P17" s="188" t="n"/>
      <c r="Q17" s="188" t="n"/>
      <c r="R17" s="190" t="n"/>
      <c r="S17" s="190" t="n"/>
      <c r="T17" s="189" t="n"/>
      <c r="U17" s="189" t="n"/>
      <c r="V17" s="190" t="n"/>
      <c r="W17" s="190" t="n"/>
      <c r="X17" s="189" t="n"/>
      <c r="Y17" s="207" t="n"/>
      <c r="Z17" s="174" t="n"/>
      <c r="AA17" s="208" t="n"/>
      <c r="AB17" s="208" t="n"/>
      <c r="AC17" s="209" t="n"/>
      <c r="AD17" s="154" t="n"/>
      <c r="AE17" s="43" t="n"/>
    </row>
    <row r="18" ht="25.5" customHeight="1" s="463">
      <c r="A18" s="173" t="n"/>
      <c r="B18" s="187" t="n"/>
      <c r="C18" s="198" t="n"/>
      <c r="D18" s="200" t="n"/>
      <c r="E18" s="200" t="n"/>
      <c r="F18" s="200" t="n"/>
      <c r="G18" s="200" t="n"/>
      <c r="H18" s="200" t="n"/>
      <c r="I18" s="200" t="n"/>
      <c r="J18" s="200" t="n"/>
      <c r="K18" s="200" t="n"/>
      <c r="L18" s="200" t="n"/>
      <c r="M18" s="200" t="n"/>
      <c r="N18" s="200" t="n"/>
      <c r="O18" s="188" t="n"/>
      <c r="P18" s="188" t="n"/>
      <c r="Q18" s="188" t="n"/>
      <c r="R18" s="188" t="n"/>
      <c r="S18" s="190" t="n"/>
      <c r="T18" s="189" t="n"/>
      <c r="U18" s="189" t="n"/>
      <c r="V18" s="190" t="n"/>
      <c r="W18" s="190" t="n"/>
      <c r="X18" s="189" t="n"/>
      <c r="Y18" s="207" t="n"/>
      <c r="Z18" s="174" t="n"/>
      <c r="AA18" s="208" t="n"/>
      <c r="AB18" s="208" t="n"/>
      <c r="AC18" s="209" t="n"/>
      <c r="AD18" s="154" t="n"/>
      <c r="AE18" s="43" t="n"/>
    </row>
    <row r="19" ht="25.5" customHeight="1" s="463">
      <c r="A19" s="173" t="n"/>
      <c r="B19" s="187" t="n"/>
      <c r="C19" s="198" t="n"/>
      <c r="D19" s="200" t="n"/>
      <c r="E19" s="200" t="n"/>
      <c r="F19" s="200" t="n"/>
      <c r="G19" s="200" t="n"/>
      <c r="H19" s="200" t="n"/>
      <c r="I19" s="200" t="n"/>
      <c r="J19" s="200" t="n"/>
      <c r="K19" s="200" t="n"/>
      <c r="L19" s="200" t="n"/>
      <c r="M19" s="200" t="n"/>
      <c r="N19" s="200" t="n"/>
      <c r="O19" s="188" t="n"/>
      <c r="P19" s="188" t="n"/>
      <c r="Q19" s="188" t="n"/>
      <c r="R19" s="188" t="n"/>
      <c r="S19" s="188" t="n"/>
      <c r="T19" s="189" t="n"/>
      <c r="U19" s="189" t="n"/>
      <c r="V19" s="190" t="n"/>
      <c r="W19" s="190" t="n"/>
      <c r="X19" s="189" t="n"/>
      <c r="Y19" s="207" t="n"/>
      <c r="Z19" s="174" t="n"/>
      <c r="AA19" s="208" t="n"/>
      <c r="AB19" s="208" t="n"/>
      <c r="AC19" s="209" t="n"/>
      <c r="AD19" s="154" t="n"/>
      <c r="AE19" s="43" t="n"/>
    </row>
    <row r="20" ht="25.5" customHeight="1" s="463">
      <c r="A20" s="173" t="n"/>
      <c r="B20" s="187" t="n"/>
      <c r="C20" s="198" t="n"/>
      <c r="D20" s="200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188" t="n"/>
      <c r="P20" s="188" t="n"/>
      <c r="Q20" s="188" t="n"/>
      <c r="R20" s="188" t="n"/>
      <c r="S20" s="188" t="n"/>
      <c r="T20" s="188" t="n"/>
      <c r="U20" s="189" t="n"/>
      <c r="V20" s="190" t="n"/>
      <c r="W20" s="190" t="n"/>
      <c r="X20" s="189" t="n"/>
      <c r="Y20" s="207" t="n"/>
      <c r="Z20" s="174" t="n"/>
      <c r="AA20" s="208" t="n"/>
      <c r="AB20" s="208" t="n"/>
      <c r="AC20" s="209" t="n"/>
      <c r="AD20" s="154" t="n"/>
      <c r="AE20" s="43" t="n"/>
    </row>
    <row r="21" ht="25.5" customHeight="1" s="463">
      <c r="A21" s="173" t="n"/>
      <c r="B21" s="187" t="n"/>
      <c r="C21" s="198" t="n"/>
      <c r="D21" s="200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188" t="n"/>
      <c r="P21" s="188" t="n"/>
      <c r="Q21" s="188" t="n"/>
      <c r="R21" s="188" t="n"/>
      <c r="S21" s="188" t="n"/>
      <c r="T21" s="188" t="n"/>
      <c r="U21" s="188" t="n"/>
      <c r="V21" s="190" t="n"/>
      <c r="W21" s="190" t="n"/>
      <c r="X21" s="189" t="n"/>
      <c r="Y21" s="207" t="n"/>
      <c r="Z21" s="174" t="n"/>
      <c r="AA21" s="208" t="n"/>
      <c r="AB21" s="208" t="n"/>
      <c r="AC21" s="209" t="n"/>
      <c r="AD21" s="154" t="n"/>
      <c r="AE21" s="43" t="n"/>
    </row>
    <row r="22" ht="25.5" customHeight="1" s="463">
      <c r="A22" s="173" t="n"/>
      <c r="B22" s="187" t="n"/>
      <c r="C22" s="198" t="n"/>
      <c r="D22" s="200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188" t="n"/>
      <c r="P22" s="188" t="n"/>
      <c r="Q22" s="188" t="n"/>
      <c r="R22" s="188" t="n"/>
      <c r="S22" s="188" t="n"/>
      <c r="T22" s="188" t="n"/>
      <c r="U22" s="188" t="n"/>
      <c r="V22" s="188" t="n"/>
      <c r="W22" s="190" t="n"/>
      <c r="X22" s="189" t="n"/>
      <c r="Y22" s="207" t="n"/>
      <c r="Z22" s="174" t="n"/>
      <c r="AA22" s="208" t="n"/>
      <c r="AB22" s="208" t="n"/>
      <c r="AC22" s="209" t="n"/>
      <c r="AD22" s="154" t="n"/>
      <c r="AE22" s="43" t="n"/>
    </row>
    <row r="23" ht="25.5" customHeight="1" s="463">
      <c r="A23" s="173" t="n"/>
      <c r="B23" s="187" t="n"/>
      <c r="C23" s="198" t="n"/>
      <c r="D23" s="200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188" t="n"/>
      <c r="P23" s="188" t="n"/>
      <c r="Q23" s="188" t="n"/>
      <c r="R23" s="188" t="n"/>
      <c r="S23" s="188" t="n"/>
      <c r="T23" s="188" t="n"/>
      <c r="U23" s="188" t="n"/>
      <c r="V23" s="188" t="n"/>
      <c r="W23" s="188" t="n"/>
      <c r="X23" s="189" t="n"/>
      <c r="Y23" s="207" t="n"/>
      <c r="Z23" s="174" t="n"/>
      <c r="AA23" s="208" t="n"/>
      <c r="AB23" s="208" t="n"/>
      <c r="AC23" s="209" t="n"/>
      <c r="AD23" s="154" t="n"/>
      <c r="AE23" s="43" t="n"/>
    </row>
    <row r="24" ht="25.5" customHeight="1" s="463">
      <c r="A24" s="173" t="n"/>
      <c r="B24" s="187" t="n"/>
      <c r="C24" s="198" t="n"/>
      <c r="D24" s="200" t="n"/>
      <c r="E24" s="200" t="n"/>
      <c r="F24" s="200" t="n"/>
      <c r="G24" s="200" t="n"/>
      <c r="H24" s="200" t="n"/>
      <c r="I24" s="200" t="n"/>
      <c r="J24" s="200" t="n"/>
      <c r="K24" s="200" t="n"/>
      <c r="L24" s="200" t="n"/>
      <c r="M24" s="200" t="n"/>
      <c r="N24" s="200" t="n"/>
      <c r="O24" s="188" t="n"/>
      <c r="P24" s="188" t="n"/>
      <c r="Q24" s="188" t="n"/>
      <c r="R24" s="188" t="n"/>
      <c r="S24" s="188" t="n"/>
      <c r="T24" s="188" t="n"/>
      <c r="U24" s="188" t="n"/>
      <c r="V24" s="188" t="n"/>
      <c r="W24" s="188" t="n"/>
      <c r="X24" s="188" t="n"/>
      <c r="Y24" s="207" t="n"/>
      <c r="Z24" s="174" t="n"/>
      <c r="AA24" s="208" t="n"/>
      <c r="AB24" s="208" t="n"/>
      <c r="AC24" s="209" t="n"/>
      <c r="AD24" s="154" t="n"/>
      <c r="AE24" s="43" t="n"/>
    </row>
    <row r="25" ht="25.5" customHeight="1" s="463">
      <c r="B25" s="210" t="n"/>
      <c r="C25" s="211" t="n"/>
      <c r="D25" s="212" t="n"/>
      <c r="E25" s="212" t="n"/>
      <c r="F25" s="212" t="n"/>
      <c r="G25" s="212" t="n"/>
      <c r="H25" s="212" t="n"/>
      <c r="I25" s="212" t="n"/>
      <c r="J25" s="212" t="n"/>
      <c r="K25" s="212" t="n"/>
      <c r="L25" s="212" t="n"/>
      <c r="M25" s="212" t="n"/>
      <c r="N25" s="212" t="n"/>
      <c r="O25" s="213" t="n"/>
      <c r="P25" s="213" t="n"/>
      <c r="Q25" s="213" t="n"/>
      <c r="R25" s="213" t="n"/>
      <c r="S25" s="213" t="n"/>
      <c r="T25" s="213" t="n"/>
      <c r="U25" s="213" t="n"/>
      <c r="V25" s="213" t="n"/>
      <c r="W25" s="213" t="n"/>
      <c r="X25" s="213" t="n"/>
      <c r="Y25" s="214" t="n"/>
      <c r="AA25" s="215" t="n"/>
      <c r="AB25" s="215" t="n"/>
      <c r="AC25" s="209" t="n"/>
      <c r="AD25" s="154" t="n"/>
      <c r="AE25" s="43" t="n"/>
    </row>
    <row r="26">
      <c r="B26" s="215" t="n"/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5" t="n"/>
      <c r="M26" s="215" t="n"/>
      <c r="N26" s="215" t="n"/>
      <c r="O26" s="215" t="n"/>
      <c r="P26" s="215" t="n"/>
      <c r="Q26" s="215" t="n"/>
      <c r="R26" s="215" t="n"/>
      <c r="S26" s="215" t="n"/>
      <c r="T26" s="215" t="n"/>
      <c r="U26" s="215" t="n"/>
      <c r="V26" s="215" t="n"/>
      <c r="W26" s="215" t="n"/>
      <c r="X26" s="215" t="n"/>
      <c r="Y26" s="215" t="n"/>
      <c r="AA26" s="215" t="n"/>
      <c r="AB26" s="215" t="n"/>
      <c r="AC26" s="215" t="n"/>
      <c r="AD26" s="215" t="n"/>
      <c r="AE26" s="215" t="n"/>
    </row>
    <row r="27" ht="25.5" customHeight="1" s="463">
      <c r="B27" s="179" t="n"/>
      <c r="AA27" s="215" t="n"/>
      <c r="AB27" s="215" t="n"/>
      <c r="AC27" s="215" t="n"/>
      <c r="AD27" s="215" t="n"/>
      <c r="AE27" s="215" t="n"/>
    </row>
    <row r="28" ht="25.5" customHeight="1" s="463">
      <c r="D28" s="189" t="n"/>
      <c r="E28" s="189" t="n"/>
      <c r="F28" s="189" t="n"/>
      <c r="G28" s="189" t="n"/>
      <c r="H28" s="189" t="n"/>
      <c r="I28" s="189" t="n"/>
      <c r="J28" s="189" t="n"/>
      <c r="K28" s="189" t="n"/>
      <c r="L28" s="189" t="n"/>
      <c r="M28" s="189" t="n"/>
      <c r="N28" s="189" t="n"/>
      <c r="O28" s="190" t="n"/>
      <c r="P28" s="190" t="n"/>
      <c r="Q28" s="190" t="n"/>
      <c r="R28" s="190" t="n"/>
      <c r="S28" s="190" t="n"/>
      <c r="T28" s="190" t="n"/>
      <c r="U28" s="190" t="n"/>
      <c r="V28" s="190" t="n"/>
      <c r="W28" s="190" t="n"/>
      <c r="X28" s="190" t="n"/>
      <c r="Y28" s="192" t="n"/>
      <c r="AA28" s="215" t="n"/>
      <c r="AB28" s="215" t="n"/>
      <c r="AC28" s="215" t="n"/>
      <c r="AD28" s="215" t="n"/>
      <c r="AE28" s="215" t="n"/>
    </row>
    <row r="29" ht="25.5" customHeight="1" s="463">
      <c r="E29" s="189" t="n"/>
      <c r="F29" s="189" t="n"/>
      <c r="G29" s="189" t="n"/>
      <c r="H29" s="189" t="n"/>
      <c r="I29" s="189" t="n"/>
      <c r="J29" s="189" t="n"/>
      <c r="K29" s="189" t="n"/>
      <c r="L29" s="189" t="n"/>
      <c r="M29" s="189" t="n"/>
      <c r="N29" s="189" t="n"/>
      <c r="O29" s="190" t="n"/>
      <c r="P29" s="190" t="n"/>
      <c r="Q29" s="190" t="n"/>
      <c r="R29" s="190" t="n"/>
      <c r="S29" s="190" t="n"/>
      <c r="T29" s="190" t="n"/>
      <c r="U29" s="190" t="n"/>
      <c r="V29" s="190" t="n"/>
      <c r="W29" s="190" t="n"/>
      <c r="X29" s="190" t="n"/>
      <c r="Y29" s="192" t="n"/>
      <c r="AA29" s="215" t="n"/>
      <c r="AB29" s="215" t="n"/>
      <c r="AC29" s="215" t="n"/>
      <c r="AD29" s="215" t="n"/>
      <c r="AE29" s="215" t="n"/>
    </row>
    <row r="30" ht="25.5" customHeight="1" s="463">
      <c r="F30" s="189" t="n"/>
      <c r="G30" s="189" t="n"/>
      <c r="H30" s="189" t="n"/>
      <c r="I30" s="189" t="n"/>
      <c r="J30" s="189" t="n"/>
      <c r="K30" s="189" t="n"/>
      <c r="L30" s="189" t="n"/>
      <c r="M30" s="189" t="n"/>
      <c r="N30" s="189" t="n"/>
      <c r="O30" s="190" t="n"/>
      <c r="P30" s="190" t="n"/>
      <c r="Q30" s="190" t="n"/>
      <c r="R30" s="190" t="n"/>
      <c r="S30" s="190" t="n"/>
      <c r="T30" s="190" t="n"/>
      <c r="U30" s="190" t="n"/>
      <c r="V30" s="190" t="n"/>
      <c r="W30" s="190" t="n"/>
      <c r="X30" s="190" t="n"/>
      <c r="Y30" s="192" t="n"/>
      <c r="AA30" s="215" t="n"/>
      <c r="AB30" s="215" t="n"/>
      <c r="AC30" s="215" t="n"/>
      <c r="AD30" s="215" t="n"/>
      <c r="AE30" s="215" t="n"/>
    </row>
    <row r="31" ht="25.5" customHeight="1" s="463">
      <c r="G31" s="189" t="n"/>
      <c r="H31" s="189" t="n"/>
      <c r="I31" s="189" t="n"/>
      <c r="J31" s="189" t="n"/>
      <c r="K31" s="189" t="n"/>
      <c r="L31" s="189" t="n"/>
      <c r="M31" s="189" t="n"/>
      <c r="N31" s="189" t="n"/>
      <c r="O31" s="190" t="n"/>
      <c r="P31" s="190" t="n"/>
      <c r="Q31" s="190" t="n"/>
      <c r="R31" s="190" t="n"/>
      <c r="S31" s="190" t="n"/>
      <c r="T31" s="190" t="n"/>
      <c r="U31" s="190" t="n"/>
      <c r="V31" s="190" t="n"/>
      <c r="W31" s="190" t="n"/>
      <c r="X31" s="190" t="n"/>
      <c r="Y31" s="192" t="n"/>
      <c r="AA31" s="215" t="n"/>
      <c r="AB31" s="215" t="n"/>
      <c r="AC31" s="215" t="n"/>
      <c r="AD31" s="215" t="n"/>
      <c r="AE31" s="215" t="n"/>
    </row>
    <row r="32" ht="25.5" customHeight="1" s="463">
      <c r="H32" s="189" t="n"/>
      <c r="I32" s="189" t="n"/>
      <c r="J32" s="189" t="n"/>
      <c r="K32" s="189" t="n"/>
      <c r="L32" s="189" t="n"/>
      <c r="M32" s="189" t="n"/>
      <c r="N32" s="189" t="n"/>
      <c r="O32" s="190" t="n"/>
      <c r="P32" s="190" t="n"/>
      <c r="Q32" s="190" t="n"/>
      <c r="R32" s="190" t="n"/>
      <c r="S32" s="190" t="n"/>
      <c r="T32" s="190" t="n"/>
      <c r="U32" s="190" t="n"/>
      <c r="V32" s="190" t="n"/>
      <c r="W32" s="190" t="n"/>
      <c r="X32" s="190" t="n"/>
      <c r="Y32" s="192" t="n"/>
      <c r="AA32" s="215" t="n"/>
      <c r="AB32" s="215" t="n"/>
      <c r="AC32" s="215" t="n"/>
      <c r="AD32" s="215" t="n"/>
      <c r="AE32" s="215" t="n"/>
    </row>
    <row r="33" ht="25.5" customHeight="1" s="463">
      <c r="I33" s="189" t="n"/>
      <c r="J33" s="189" t="n"/>
      <c r="K33" s="189" t="n"/>
      <c r="L33" s="189" t="n"/>
      <c r="M33" s="189" t="n"/>
      <c r="N33" s="189" t="n"/>
      <c r="O33" s="190" t="n"/>
      <c r="P33" s="190" t="n"/>
      <c r="Q33" s="190" t="n"/>
      <c r="R33" s="190" t="n"/>
      <c r="S33" s="190" t="n"/>
      <c r="T33" s="190" t="n"/>
      <c r="U33" s="190" t="n"/>
      <c r="V33" s="190" t="n"/>
      <c r="W33" s="190" t="n"/>
      <c r="X33" s="190" t="n"/>
      <c r="Y33" s="192" t="n"/>
      <c r="AA33" s="215" t="n"/>
      <c r="AB33" s="215" t="n"/>
      <c r="AC33" s="215" t="n"/>
      <c r="AD33" s="215" t="n"/>
      <c r="AE33" s="215" t="n"/>
    </row>
    <row r="34" ht="25.5" customHeight="1" s="463">
      <c r="J34" s="189" t="n"/>
      <c r="K34" s="189" t="n"/>
      <c r="L34" s="189" t="n"/>
      <c r="M34" s="189" t="n"/>
      <c r="N34" s="189" t="n"/>
      <c r="O34" s="190" t="n"/>
      <c r="P34" s="190" t="n"/>
      <c r="Q34" s="190" t="n"/>
      <c r="R34" s="190" t="n"/>
      <c r="S34" s="190" t="n"/>
      <c r="T34" s="190" t="n"/>
      <c r="U34" s="190" t="n"/>
      <c r="V34" s="190" t="n"/>
      <c r="W34" s="190" t="n"/>
      <c r="X34" s="190" t="n"/>
      <c r="Y34" s="192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189" t="n"/>
      <c r="L35" s="189" t="n"/>
      <c r="M35" s="189" t="n"/>
      <c r="N35" s="189" t="n"/>
      <c r="O35" s="190" t="n"/>
      <c r="P35" s="190" t="n"/>
      <c r="Q35" s="190" t="n"/>
      <c r="R35" s="190" t="n"/>
      <c r="S35" s="190" t="n"/>
      <c r="T35" s="190" t="n"/>
      <c r="U35" s="190" t="n"/>
      <c r="V35" s="190" t="n"/>
      <c r="W35" s="190" t="n"/>
      <c r="X35" s="190" t="n"/>
      <c r="Y35" s="192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189" t="n"/>
      <c r="M36" s="189" t="n"/>
      <c r="N36" s="189" t="n"/>
      <c r="O36" s="190" t="n"/>
      <c r="P36" s="190" t="n"/>
      <c r="Q36" s="190" t="n"/>
      <c r="R36" s="190" t="n"/>
      <c r="S36" s="190" t="n"/>
      <c r="T36" s="190" t="n"/>
      <c r="U36" s="190" t="n"/>
      <c r="V36" s="190" t="n"/>
      <c r="W36" s="190" t="n"/>
      <c r="X36" s="190" t="n"/>
      <c r="Y36" s="192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189" t="n"/>
      <c r="N37" s="189" t="n"/>
      <c r="O37" s="190" t="n"/>
      <c r="P37" s="190" t="n"/>
      <c r="Q37" s="190" t="n"/>
      <c r="R37" s="190" t="n"/>
      <c r="S37" s="190" t="n"/>
      <c r="T37" s="190" t="n"/>
      <c r="U37" s="190" t="n"/>
      <c r="V37" s="190" t="n"/>
      <c r="W37" s="189" t="n"/>
      <c r="X37" s="190" t="n"/>
      <c r="Y37" s="192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189" t="n"/>
      <c r="O38" s="190" t="n"/>
      <c r="P38" s="190" t="n"/>
      <c r="Q38" s="190" t="n"/>
      <c r="R38" s="190" t="n"/>
      <c r="S38" s="190" t="n"/>
      <c r="T38" s="190" t="n"/>
      <c r="U38" s="190" t="n"/>
      <c r="V38" s="190" t="n"/>
      <c r="W38" s="189" t="n"/>
      <c r="X38" s="190" t="n"/>
      <c r="Y38" s="192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190" t="n"/>
      <c r="P39" s="190" t="n"/>
      <c r="Q39" s="190" t="n"/>
      <c r="R39" s="190" t="n"/>
      <c r="S39" s="190" t="n"/>
      <c r="T39" s="190" t="n"/>
      <c r="U39" s="190" t="n"/>
      <c r="V39" s="190" t="n"/>
      <c r="W39" s="189" t="n"/>
      <c r="X39" s="189" t="n"/>
      <c r="Y39" s="192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190" t="n"/>
      <c r="Q40" s="190" t="n"/>
      <c r="R40" s="190" t="n"/>
      <c r="S40" s="190" t="n"/>
      <c r="T40" s="189" t="n"/>
      <c r="U40" s="190" t="n"/>
      <c r="V40" s="190" t="n"/>
      <c r="W40" s="190" t="n"/>
      <c r="X40" s="189" t="n"/>
      <c r="Y40" s="207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190" t="n"/>
      <c r="R41" s="190" t="n"/>
      <c r="S41" s="190" t="n"/>
      <c r="T41" s="189" t="n"/>
      <c r="U41" s="190" t="n"/>
      <c r="V41" s="190" t="n"/>
      <c r="W41" s="189" t="n"/>
      <c r="X41" s="189" t="n"/>
      <c r="Y41" s="207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190" t="n"/>
      <c r="S42" s="190" t="n"/>
      <c r="T42" s="189" t="n"/>
      <c r="U42" s="189" t="n"/>
      <c r="V42" s="190" t="n"/>
      <c r="W42" s="190" t="n"/>
      <c r="X42" s="189" t="n"/>
      <c r="Y42" s="207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190" t="n"/>
      <c r="T43" s="189" t="n"/>
      <c r="U43" s="189" t="n"/>
      <c r="V43" s="190" t="n"/>
      <c r="W43" s="190" t="n"/>
      <c r="X43" s="189" t="n"/>
      <c r="Y43" s="207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189" t="n"/>
      <c r="U44" s="189" t="n"/>
      <c r="V44" s="190" t="n"/>
      <c r="W44" s="190" t="n"/>
      <c r="X44" s="189" t="n"/>
      <c r="Y44" s="207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189" t="n"/>
      <c r="V45" s="190" t="n"/>
      <c r="W45" s="190" t="n"/>
      <c r="X45" s="189" t="n"/>
      <c r="Y45" s="207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190" t="n"/>
      <c r="W46" s="190" t="n"/>
      <c r="X46" s="189" t="n"/>
      <c r="Y46" s="207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190" t="n"/>
      <c r="X47" s="189" t="n"/>
      <c r="Y47" s="207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189" t="n"/>
      <c r="Y48" s="207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207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conditionalFormatting sqref="C3:Y25 D28 E28:E29 F28:F30 G28:G31 H28:H32 I28:I33 J28:J34 K28:K35 L28:L36 M28:M37 N28:N38 O28:O39 P28:Y56">
    <cfRule type="cellIs" priority="1" operator="equal" dxfId="0">
      <formula>"++"</formula>
    </cfRule>
    <cfRule type="cellIs" priority="2" operator="equal" dxfId="1">
      <formula>"+"</formula>
    </cfRule>
    <cfRule type="cellIs" priority="3" operator="equal" dxfId="2">
      <formula>"--"</formula>
    </cfRule>
    <cfRule type="cellIs" priority="4" operator="equal" dxfId="3">
      <formula>"-"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25" customWidth="1" style="463" min="1" max="1"/>
    <col width="15" customWidth="1" style="463" min="2" max="2"/>
    <col width="38" customWidth="1" style="463" min="3" max="3"/>
    <col width="18.5" customWidth="1" style="463" min="4" max="4"/>
    <col width="7.63" customWidth="1" style="463" min="5" max="27"/>
    <col width="17.88" customWidth="1" style="463" min="28" max="28"/>
  </cols>
  <sheetData>
    <row r="1">
      <c r="A1" s="110" t="n"/>
      <c r="B1" s="110" t="n"/>
      <c r="C1" s="110" t="n"/>
      <c r="D1" s="110" t="n"/>
    </row>
    <row r="2">
      <c r="A2" s="167" t="n"/>
      <c r="AG2" s="234" t="n"/>
      <c r="AH2" s="234" t="n"/>
    </row>
    <row r="3">
      <c r="A3" s="230" t="n"/>
      <c r="AG3" s="231" t="n"/>
      <c r="AH3" s="231" t="n"/>
    </row>
    <row r="4">
      <c r="AG4" s="232" t="n"/>
      <c r="AH4" s="232" t="n"/>
    </row>
    <row r="5">
      <c r="AG5" s="226" t="n"/>
      <c r="AH5" s="226" t="n"/>
    </row>
    <row r="6">
      <c r="AG6" s="226" t="n"/>
      <c r="AH6" s="226" t="n"/>
    </row>
    <row r="7">
      <c r="AG7" s="226" t="n"/>
      <c r="AH7" s="226" t="n"/>
    </row>
    <row r="8">
      <c r="AG8" s="226" t="n"/>
      <c r="AH8" s="226" t="n"/>
    </row>
    <row r="9">
      <c r="AG9" s="226" t="n"/>
      <c r="AH9" s="226" t="n"/>
    </row>
    <row r="10">
      <c r="AG10" s="226" t="n"/>
      <c r="AH10" s="226" t="n"/>
    </row>
    <row r="11">
      <c r="AG11" s="226" t="n"/>
      <c r="AH11" s="226" t="n"/>
    </row>
    <row r="12">
      <c r="AG12" s="226" t="n"/>
      <c r="AH12" s="226" t="n"/>
    </row>
    <row r="13">
      <c r="AG13" s="226" t="n"/>
      <c r="AH13" s="226" t="n"/>
    </row>
    <row r="14">
      <c r="AG14" s="226" t="n"/>
      <c r="AH14" s="226" t="n"/>
    </row>
    <row r="15">
      <c r="AG15" s="226" t="n"/>
      <c r="AH15" s="226" t="n"/>
    </row>
    <row r="16">
      <c r="AG16" s="226" t="n"/>
      <c r="AH16" s="226" t="n"/>
    </row>
    <row r="17">
      <c r="AG17" s="226" t="n"/>
      <c r="AH17" s="226" t="n"/>
    </row>
    <row r="18">
      <c r="AG18" s="226" t="n"/>
      <c r="AH18" s="226" t="n"/>
    </row>
    <row r="19">
      <c r="AG19" s="226" t="n"/>
      <c r="AH19" s="226" t="n"/>
    </row>
    <row r="20">
      <c r="AG20" s="226" t="n"/>
      <c r="AH20" s="226" t="n"/>
    </row>
    <row r="21">
      <c r="AG21" s="226" t="n"/>
      <c r="AH21" s="226" t="n"/>
    </row>
    <row r="22">
      <c r="AG22" s="226" t="n"/>
      <c r="AH22" s="226" t="n"/>
    </row>
    <row r="23">
      <c r="AG23" s="226" t="n"/>
      <c r="AH23" s="226" t="n"/>
    </row>
    <row r="24">
      <c r="AG24" s="226" t="n"/>
      <c r="AH24" s="226" t="n"/>
    </row>
    <row r="25">
      <c r="AG25" s="226" t="n"/>
      <c r="AH25" s="226" t="n"/>
    </row>
    <row r="26">
      <c r="AG26" s="226" t="n"/>
      <c r="AH26" s="226" t="n"/>
    </row>
    <row r="27">
      <c r="AG27" s="226" t="n"/>
      <c r="AH27" s="226" t="n"/>
    </row>
    <row r="28">
      <c r="AG28" s="226" t="n"/>
      <c r="AH28" s="226" t="n"/>
    </row>
    <row r="29">
      <c r="AG29" s="226" t="n"/>
      <c r="AH29" s="226" t="n"/>
    </row>
    <row r="30">
      <c r="AG30" s="226" t="n"/>
      <c r="AH30" s="226" t="n"/>
    </row>
    <row r="31">
      <c r="AG31" s="226" t="n"/>
      <c r="AH31" s="226" t="n"/>
    </row>
    <row r="32">
      <c r="AG32" s="226" t="n"/>
      <c r="AH32" s="226" t="n"/>
    </row>
    <row r="33">
      <c r="AG33" s="226" t="n"/>
      <c r="AH33" s="226" t="n"/>
    </row>
    <row r="34">
      <c r="AG34" s="226" t="n"/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57"/>
    <row r="58"/>
    <row r="59"/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6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6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6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6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conditionalFormatting sqref="E5:AA48 E67:AA76 E78:AA98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13" customWidth="1" style="463" min="1" max="1"/>
    <col width="9.880000000000001" customWidth="1" style="463" min="2" max="2"/>
    <col width="31" customWidth="1" style="463" min="3" max="3"/>
    <col width="12.63" customWidth="1" style="463" min="4" max="4"/>
    <col width="30" customWidth="1" style="463" min="5" max="5"/>
    <col width="25.88" customWidth="1" style="463" min="6" max="6"/>
    <col width="78.5" customWidth="1" style="463" min="7" max="7"/>
    <col width="7.13" customWidth="1" style="463" min="8" max="8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234" t="n"/>
      <c r="C2" s="234" t="n"/>
      <c r="D2" s="260" t="n"/>
      <c r="E2" s="250" t="n"/>
      <c r="F2" s="250" t="n"/>
      <c r="G2" s="234" t="n"/>
      <c r="H2" s="236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>
      <c r="A3" s="234" t="n"/>
      <c r="B3" s="234" t="n"/>
      <c r="C3" s="234" t="n"/>
      <c r="D3" s="260" t="n"/>
      <c r="E3" s="250" t="n"/>
      <c r="F3" s="250" t="n"/>
      <c r="G3" s="234" t="n"/>
      <c r="H3" s="236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>
      <c r="A5" s="234" t="n"/>
      <c r="B5" s="186" t="inlineStr">
        <is>
          <t>ID</t>
        </is>
      </c>
      <c r="C5" s="185" t="inlineStr">
        <is>
          <t>Requisito de projeto</t>
        </is>
      </c>
      <c r="D5" s="186" t="inlineStr">
        <is>
          <t>Unidade</t>
        </is>
      </c>
      <c r="E5" s="186" t="inlineStr">
        <is>
          <t>Meta</t>
        </is>
      </c>
      <c r="F5" s="186" t="inlineStr">
        <is>
          <t>Medição</t>
        </is>
      </c>
      <c r="G5" s="186" t="inlineStr">
        <is>
          <t>Justificativa</t>
        </is>
      </c>
      <c r="H5" s="186" t="inlineStr">
        <is>
          <t>Direção</t>
        </is>
      </c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>
      <c r="A6" s="234" t="n"/>
      <c r="B6" s="237" t="n"/>
      <c r="C6" s="196" t="n"/>
      <c r="D6" s="237" t="n"/>
      <c r="E6" s="238" t="n"/>
      <c r="F6" s="238" t="n"/>
      <c r="G6" s="247" t="n"/>
      <c r="H6" s="237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>
      <c r="A7" s="234" t="n"/>
      <c r="B7" s="237" t="n"/>
      <c r="C7" s="196" t="n"/>
      <c r="D7" s="238" t="n"/>
      <c r="E7" s="238" t="n"/>
      <c r="F7" s="238" t="n"/>
      <c r="G7" s="247" t="n"/>
      <c r="H7" s="238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>
      <c r="A8" s="234" t="n"/>
      <c r="B8" s="240" t="n"/>
      <c r="C8" s="196" t="n"/>
      <c r="D8" s="238" t="n"/>
      <c r="E8" s="238" t="n"/>
      <c r="F8" s="238" t="n"/>
      <c r="G8" s="247" t="n"/>
      <c r="H8" s="238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>
      <c r="A9" s="234" t="n"/>
      <c r="B9" s="240" t="n"/>
      <c r="C9" s="196" t="n"/>
      <c r="D9" s="238" t="n"/>
      <c r="E9" s="238" t="n"/>
      <c r="F9" s="238" t="n"/>
      <c r="G9" s="247" t="n"/>
      <c r="H9" s="238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>
      <c r="A10" s="234" t="n"/>
      <c r="B10" s="237" t="n"/>
      <c r="C10" s="196" t="n"/>
      <c r="D10" s="238" t="n"/>
      <c r="E10" s="238" t="n"/>
      <c r="F10" s="238" t="n"/>
      <c r="G10" s="247" t="n"/>
      <c r="H10" s="238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>
      <c r="A11" s="234" t="n"/>
      <c r="B11" s="237" t="n"/>
      <c r="C11" s="196" t="n"/>
      <c r="D11" s="238" t="n"/>
      <c r="E11" s="238" t="n"/>
      <c r="F11" s="238" t="n"/>
      <c r="G11" s="247" t="n"/>
      <c r="H11" s="238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>
      <c r="A12" s="234" t="n"/>
      <c r="B12" s="237" t="n"/>
      <c r="C12" s="196" t="n"/>
      <c r="D12" s="238" t="n"/>
      <c r="E12" s="238" t="n"/>
      <c r="F12" s="238" t="n"/>
      <c r="G12" s="247" t="n"/>
      <c r="H12" s="238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>
      <c r="A13" s="234" t="n"/>
      <c r="B13" s="237" t="n"/>
      <c r="C13" s="196" t="n"/>
      <c r="D13" s="238" t="n"/>
      <c r="E13" s="238" t="n"/>
      <c r="F13" s="238" t="n"/>
      <c r="G13" s="247" t="n"/>
      <c r="H13" s="238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>
      <c r="A14" s="234" t="n"/>
      <c r="B14" s="237" t="n"/>
      <c r="C14" s="196" t="n"/>
      <c r="D14" s="238" t="n"/>
      <c r="E14" s="238" t="n"/>
      <c r="F14" s="238" t="n"/>
      <c r="G14" s="247" t="n"/>
      <c r="H14" s="238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>
      <c r="A15" s="234" t="n"/>
      <c r="B15" s="237" t="n"/>
      <c r="C15" s="196" t="n"/>
      <c r="D15" s="238" t="n"/>
      <c r="E15" s="238" t="n"/>
      <c r="F15" s="238" t="n"/>
      <c r="G15" s="247" t="n"/>
      <c r="H15" s="238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>
      <c r="A16" s="234" t="n"/>
      <c r="B16" s="237" t="n"/>
      <c r="C16" s="196" t="n"/>
      <c r="D16" s="238" t="n"/>
      <c r="E16" s="238" t="n"/>
      <c r="F16" s="238" t="n"/>
      <c r="G16" s="247" t="n"/>
      <c r="H16" s="238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>
      <c r="A17" s="234" t="n"/>
      <c r="B17" s="237" t="n"/>
      <c r="C17" s="196" t="n"/>
      <c r="D17" s="238" t="n"/>
      <c r="E17" s="238" t="n"/>
      <c r="F17" s="238" t="n"/>
      <c r="G17" s="247" t="n"/>
      <c r="H17" s="238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>
      <c r="A18" s="234" t="n"/>
      <c r="B18" s="237" t="n"/>
      <c r="C18" s="196" t="n"/>
      <c r="D18" s="238" t="n"/>
      <c r="E18" s="238" t="n"/>
      <c r="F18" s="238" t="n"/>
      <c r="G18" s="247" t="n"/>
      <c r="H18" s="238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>
      <c r="A19" s="234" t="n"/>
      <c r="B19" s="237" t="n"/>
      <c r="C19" s="196" t="n"/>
      <c r="D19" s="238" t="n"/>
      <c r="E19" s="238" t="n"/>
      <c r="F19" s="238" t="n"/>
      <c r="G19" s="247" t="n"/>
      <c r="H19" s="238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>
      <c r="A20" s="234" t="n"/>
      <c r="B20" s="154" t="n"/>
      <c r="C20" s="247" t="n"/>
      <c r="D20" s="238" t="n"/>
      <c r="E20" s="226" t="n"/>
      <c r="F20" s="238" t="n"/>
      <c r="G20" s="247" t="n"/>
      <c r="H20" s="238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>
      <c r="A21" s="234" t="n"/>
      <c r="B21" s="238" t="n"/>
      <c r="C21" s="247" t="n"/>
      <c r="D21" s="238" t="n"/>
      <c r="E21" s="238" t="n"/>
      <c r="F21" s="238" t="n"/>
      <c r="G21" s="247" t="n"/>
      <c r="H21" s="238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>
      <c r="A22" s="234" t="n"/>
      <c r="B22" s="238" t="n"/>
      <c r="C22" s="247" t="n"/>
      <c r="D22" s="238" t="n"/>
      <c r="E22" s="238" t="n"/>
      <c r="F22" s="238" t="n"/>
      <c r="G22" s="247" t="n"/>
      <c r="H22" s="238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>
      <c r="A23" s="234" t="n"/>
      <c r="B23" s="238" t="n"/>
      <c r="C23" s="247" t="n"/>
      <c r="D23" s="238" t="n"/>
      <c r="E23" s="238" t="n"/>
      <c r="F23" s="238" t="n"/>
      <c r="G23" s="247" t="n"/>
      <c r="H23" s="238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>
      <c r="A24" s="234" t="n"/>
      <c r="B24" s="238" t="n"/>
      <c r="C24" s="247" t="n"/>
      <c r="D24" s="238" t="n"/>
      <c r="E24" s="238" t="n"/>
      <c r="F24" s="238" t="n"/>
      <c r="G24" s="247" t="n"/>
      <c r="H24" s="238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>
      <c r="A25" s="234" t="n"/>
      <c r="B25" s="154" t="n"/>
      <c r="C25" s="247" t="n"/>
      <c r="D25" s="238" t="n"/>
      <c r="E25" s="238" t="n"/>
      <c r="F25" s="238" t="n"/>
      <c r="G25" s="247" t="n"/>
      <c r="H25" s="238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>
      <c r="A26" s="234" t="n"/>
      <c r="B26" s="154" t="n"/>
      <c r="C26" s="247" t="n"/>
      <c r="D26" s="238" t="n"/>
      <c r="E26" s="238" t="n"/>
      <c r="F26" s="238" t="n"/>
      <c r="G26" s="247" t="n"/>
      <c r="H26" s="238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>
      <c r="A27" s="234" t="n"/>
      <c r="B27" s="154" t="n"/>
      <c r="C27" s="247" t="n"/>
      <c r="D27" s="238" t="n"/>
      <c r="E27" s="238" t="n"/>
      <c r="F27" s="238" t="n"/>
      <c r="G27" s="247" t="n"/>
      <c r="H27" s="238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>
      <c r="A28" s="234" t="n"/>
      <c r="B28" s="154" t="n"/>
      <c r="C28" s="247" t="n"/>
      <c r="D28" s="238" t="n"/>
      <c r="E28" s="238" t="n"/>
      <c r="F28" s="238" t="n"/>
      <c r="G28" s="247" t="n"/>
      <c r="H28" s="238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>
      <c r="A29" s="234" t="n"/>
      <c r="B29" s="234" t="n"/>
      <c r="C29" s="234" t="n"/>
      <c r="D29" s="260" t="n"/>
      <c r="E29" s="250" t="n"/>
      <c r="F29" s="250" t="n"/>
      <c r="G29" s="234" t="n"/>
      <c r="H29" s="236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>
      <c r="A30" s="234" t="n"/>
      <c r="B30" s="234" t="n"/>
      <c r="C30" s="234" t="n"/>
      <c r="D30" s="260" t="n"/>
      <c r="E30" s="250" t="n"/>
      <c r="F30" s="250" t="n"/>
      <c r="G30" s="234" t="n"/>
      <c r="H30" s="236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>
      <c r="A31" s="234" t="n"/>
      <c r="B31" s="234" t="n"/>
      <c r="C31" s="234" t="n"/>
      <c r="D31" s="260" t="n"/>
      <c r="E31" s="250" t="n"/>
      <c r="F31" s="250" t="n"/>
      <c r="G31" s="234" t="n"/>
      <c r="H31" s="236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>
      <c r="A32" s="234" t="n"/>
      <c r="B32" s="234" t="n"/>
      <c r="C32" s="234" t="n"/>
      <c r="D32" s="260" t="n"/>
      <c r="E32" s="250" t="n"/>
      <c r="F32" s="250" t="n"/>
      <c r="G32" s="234" t="n"/>
      <c r="H32" s="236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>
      <c r="A33" s="234" t="n"/>
      <c r="B33" s="234" t="n"/>
      <c r="C33" s="234" t="n"/>
      <c r="D33" s="260" t="n"/>
      <c r="E33" s="250" t="n"/>
      <c r="F33" s="250" t="n"/>
      <c r="G33" s="234" t="n"/>
      <c r="H33" s="236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>
      <c r="A34" s="234" t="n"/>
      <c r="B34" s="234" t="n"/>
      <c r="C34" s="234" t="n"/>
      <c r="D34" s="260" t="n"/>
      <c r="E34" s="250" t="n"/>
      <c r="F34" s="250" t="n"/>
      <c r="G34" s="234" t="n"/>
      <c r="H34" s="23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>
      <c r="A35" s="234" t="n"/>
      <c r="B35" s="234" t="n"/>
      <c r="C35" s="234" t="n"/>
      <c r="D35" s="260" t="n"/>
      <c r="E35" s="250" t="n"/>
      <c r="F35" s="250" t="n"/>
      <c r="G35" s="234" t="n"/>
      <c r="H35" s="23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>
      <c r="A36" s="234" t="n"/>
      <c r="B36" s="234" t="n"/>
      <c r="C36" s="234" t="n"/>
      <c r="D36" s="260" t="n"/>
      <c r="E36" s="250" t="n"/>
      <c r="F36" s="250" t="n"/>
      <c r="G36" s="234" t="n"/>
      <c r="H36" s="23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>
      <c r="A37" s="234" t="n"/>
      <c r="B37" s="234" t="n"/>
      <c r="C37" s="234" t="n"/>
      <c r="D37" s="260" t="n"/>
      <c r="E37" s="250" t="n"/>
      <c r="F37" s="250" t="n"/>
      <c r="G37" s="234" t="n"/>
      <c r="H37" s="23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>
      <c r="A38" s="234" t="n"/>
      <c r="B38" s="234" t="n"/>
      <c r="C38" s="234" t="n"/>
      <c r="D38" s="260" t="n"/>
      <c r="E38" s="250" t="n"/>
      <c r="F38" s="250" t="n"/>
      <c r="G38" s="234" t="n"/>
      <c r="H38" s="23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>
      <c r="A39" s="234" t="n"/>
      <c r="B39" s="234" t="n"/>
      <c r="C39" s="234" t="n"/>
      <c r="D39" s="260" t="n"/>
      <c r="E39" s="250" t="n"/>
      <c r="F39" s="250" t="n"/>
      <c r="G39" s="234" t="n"/>
      <c r="H39" s="23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>
      <c r="A40" s="234" t="n"/>
      <c r="B40" s="234" t="n"/>
      <c r="C40" s="234" t="n"/>
      <c r="D40" s="260" t="n"/>
      <c r="E40" s="250" t="n"/>
      <c r="F40" s="250" t="n"/>
      <c r="G40" s="234" t="n"/>
      <c r="H40" s="23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>
      <c r="A41" s="234" t="n"/>
      <c r="B41" s="234" t="n"/>
      <c r="C41" s="234" t="n"/>
      <c r="D41" s="260" t="n"/>
      <c r="E41" s="250" t="n"/>
      <c r="F41" s="250" t="n"/>
      <c r="G41" s="234" t="n"/>
      <c r="H41" s="23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>
      <c r="A42" s="234" t="n"/>
      <c r="B42" s="234" t="n"/>
      <c r="C42" s="234" t="n"/>
      <c r="D42" s="260" t="n"/>
      <c r="E42" s="250" t="n"/>
      <c r="F42" s="250" t="n"/>
      <c r="G42" s="234" t="n"/>
      <c r="H42" s="23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>
      <c r="A43" s="234" t="n"/>
      <c r="B43" s="234" t="n"/>
      <c r="C43" s="234" t="n"/>
      <c r="D43" s="260" t="n"/>
      <c r="E43" s="250" t="n"/>
      <c r="F43" s="250" t="n"/>
      <c r="G43" s="234" t="n"/>
      <c r="H43" s="23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>
      <c r="A44" s="234" t="n"/>
      <c r="B44" s="234" t="n"/>
      <c r="C44" s="234" t="n"/>
      <c r="D44" s="260" t="n"/>
      <c r="E44" s="250" t="n"/>
      <c r="F44" s="250" t="n"/>
      <c r="G44" s="234" t="n"/>
      <c r="H44" s="23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>
      <c r="A45" s="234" t="n"/>
      <c r="B45" s="234" t="n"/>
      <c r="C45" s="234" t="n"/>
      <c r="D45" s="260" t="n"/>
      <c r="E45" s="250" t="n"/>
      <c r="F45" s="250" t="n"/>
      <c r="G45" s="234" t="n"/>
      <c r="H45" s="23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>
      <c r="A46" s="234" t="n"/>
      <c r="B46" s="234" t="n"/>
      <c r="C46" s="234" t="n"/>
      <c r="D46" s="260" t="n"/>
      <c r="E46" s="250" t="n"/>
      <c r="F46" s="250" t="n"/>
      <c r="G46" s="234" t="n"/>
      <c r="H46" s="23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>
      <c r="A47" s="234" t="n"/>
      <c r="B47" s="234" t="n"/>
      <c r="C47" s="234" t="n"/>
      <c r="D47" s="260" t="n"/>
      <c r="E47" s="250" t="n"/>
      <c r="F47" s="250" t="n"/>
      <c r="G47" s="234" t="n"/>
      <c r="H47" s="23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>
      <c r="A48" s="234" t="n"/>
      <c r="B48" s="234" t="n"/>
      <c r="C48" s="234" t="n"/>
      <c r="D48" s="260" t="n"/>
      <c r="E48" s="250" t="n"/>
      <c r="F48" s="250" t="n"/>
      <c r="G48" s="234" t="n"/>
      <c r="H48" s="23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>
      <c r="A49" s="234" t="n"/>
      <c r="B49" s="234" t="n"/>
      <c r="C49" s="234" t="n"/>
      <c r="D49" s="260" t="n"/>
      <c r="E49" s="250" t="n"/>
      <c r="F49" s="250" t="n"/>
      <c r="G49" s="234" t="n"/>
      <c r="H49" s="23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66" t="inlineStr">
        <is>
          <t>Especificação meta e requisitos</t>
        </is>
      </c>
      <c r="C2" s="467" t="n"/>
      <c r="D2" s="250" t="n"/>
      <c r="E2" s="466" t="inlineStr">
        <is>
          <t>Função Global</t>
        </is>
      </c>
      <c r="F2" s="468" t="n"/>
      <c r="G2" s="468" t="n"/>
      <c r="H2" s="46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6" t="inlineStr">
        <is>
          <t>Função Global</t>
        </is>
      </c>
      <c r="C2" s="468" t="n"/>
      <c r="D2" s="468" t="n"/>
      <c r="E2" s="46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6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69" t="inlineStr">
        <is>
          <t>Função Global</t>
        </is>
      </c>
      <c r="C2" s="468" t="n"/>
      <c r="D2" s="468" t="n"/>
      <c r="E2" s="46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7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2" t="inlineStr">
        <is>
          <t>Modelagem</t>
        </is>
      </c>
      <c r="C2" s="473" t="n"/>
      <c r="D2" s="473" t="n"/>
      <c r="E2" s="473" t="n"/>
      <c r="F2" s="473" t="n"/>
      <c r="G2" s="47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2:R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5"/>
    <row r="6">
      <c r="K6" s="215" t="n"/>
      <c r="L6" s="215" t="n"/>
    </row>
    <row r="7"/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 fitToPage="1"/>
  </sheetPr>
  <dimension ref="A1:Y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7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7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7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7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7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7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7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7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7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3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7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7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8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7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7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7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7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7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7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81" t="n"/>
      <c r="C29" s="368" t="n"/>
      <c r="D29" s="482" t="n"/>
      <c r="K29" s="48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7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84" t="n"/>
      <c r="C31" s="368" t="n"/>
      <c r="D31" s="482" t="n"/>
      <c r="K31" s="48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7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85" t="n"/>
      <c r="C33" s="368" t="n"/>
      <c r="D33" s="482" t="n"/>
      <c r="K33" s="48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7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86" t="n"/>
      <c r="C35" s="368" t="n"/>
      <c r="D35" s="482" t="n"/>
      <c r="K35" s="48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7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87" t="n"/>
      <c r="C37" s="368" t="n"/>
      <c r="D37" s="482" t="n"/>
      <c r="K37" s="48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7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6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selection activeCell="A1" sqref="A1"/>
    </sheetView>
  </sheetViews>
  <sheetFormatPr baseColWidth="8" defaultColWidth="12.63" defaultRowHeight="15.75" customHeight="1"/>
  <sheetData>
    <row r="1"/>
    <row r="2">
      <c r="B2" s="215" t="n"/>
      <c r="F2" s="215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>
      <c r="B18" s="215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8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8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8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8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8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72" t="inlineStr">
        <is>
          <t>Modelagem</t>
        </is>
      </c>
      <c r="C2" s="473" t="n"/>
      <c r="D2" s="473" t="n"/>
      <c r="E2" s="473" t="n"/>
      <c r="F2" s="473" t="n"/>
      <c r="G2" s="47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89" t="n"/>
      <c r="C2" s="452" t="n"/>
      <c r="D2" s="490" t="n"/>
      <c r="H2" s="49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2026-09-15T01:15:34Z</dcterms:created>
  <dcterms:modified xmlns:dcterms="http://purl.org/dc/terms/" xmlns:xsi="http://www.w3.org/2001/XMLSchema-instance" xsi:type="dcterms:W3CDTF">2026-09-15T01:15:35Z</dcterms:modified>
</cp:coreProperties>
</file>