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Rastreabilidade" sheetId="4" state="visible" r:id="rId4"/>
    <sheet xmlns:r="http://schemas.openxmlformats.org/officeDocument/2006/relationships" name="Diagrama de Kano" sheetId="5" state="visible" r:id="rId5"/>
    <sheet xmlns:r="http://schemas.openxmlformats.org/officeDocument/2006/relationships" name="Diagrama de Mudge" sheetId="6" state="visible" r:id="rId6"/>
    <sheet xmlns:r="http://schemas.openxmlformats.org/officeDocument/2006/relationships" name="Diagrama de Pareto" sheetId="7" state="visible" r:id="rId7"/>
    <sheet xmlns:r="http://schemas.openxmlformats.org/officeDocument/2006/relationships" name="Benchmarking" sheetId="8" state="visible" r:id="rId8"/>
    <sheet xmlns:r="http://schemas.openxmlformats.org/officeDocument/2006/relationships" name="Requisito de Projeto" sheetId="9" state="visible" r:id="rId9"/>
    <sheet xmlns:r="http://schemas.openxmlformats.org/officeDocument/2006/relationships" name="MUDGE 2" sheetId="10" state="hidden" r:id="rId10"/>
    <sheet xmlns:r="http://schemas.openxmlformats.org/officeDocument/2006/relationships" name="Matriz de Relacionamento" sheetId="11" state="visible" r:id="rId11"/>
    <sheet xmlns:r="http://schemas.openxmlformats.org/officeDocument/2006/relationships" name="Matriz de Correlação" sheetId="12" state="visible" r:id="rId12"/>
    <sheet xmlns:r="http://schemas.openxmlformats.org/officeDocument/2006/relationships" name="QFD" sheetId="13" state="visible" r:id="rId13"/>
    <sheet xmlns:r="http://schemas.openxmlformats.org/officeDocument/2006/relationships" name="Especificação Meta" sheetId="14" state="visible" r:id="rId14"/>
    <sheet xmlns:r="http://schemas.openxmlformats.org/officeDocument/2006/relationships" name="Função Global" sheetId="15" state="visible" r:id="rId15"/>
    <sheet xmlns:r="http://schemas.openxmlformats.org/officeDocument/2006/relationships" name=" FAST " sheetId="16" state="visible" r:id="rId16"/>
    <sheet xmlns:r="http://schemas.openxmlformats.org/officeDocument/2006/relationships" name="Funções Parciais" sheetId="17" state="visible" r:id="rId17"/>
    <sheet xmlns:r="http://schemas.openxmlformats.org/officeDocument/2006/relationships" name="Modelagem V0" sheetId="18" state="visible" r:id="rId18"/>
    <sheet xmlns:r="http://schemas.openxmlformats.org/officeDocument/2006/relationships" name="Modelagens Alternativas" sheetId="19" state="visible" r:id="rId19"/>
    <sheet xmlns:r="http://schemas.openxmlformats.org/officeDocument/2006/relationships" name="Matriz Pugh das Modelagens" sheetId="20" state="visible" r:id="rId20"/>
    <sheet xmlns:r="http://schemas.openxmlformats.org/officeDocument/2006/relationships" name="Matriz Morfologica " sheetId="21" state="visible" r:id="rId21"/>
    <sheet xmlns:r="http://schemas.openxmlformats.org/officeDocument/2006/relationships" name="TRIZ" sheetId="22" state="visible" r:id="rId22"/>
    <sheet xmlns:r="http://schemas.openxmlformats.org/officeDocument/2006/relationships" name="MIM1" sheetId="23" state="hidden" r:id="rId23"/>
    <sheet xmlns:r="http://schemas.openxmlformats.org/officeDocument/2006/relationships" name="MIM" sheetId="24" state="visible" r:id="rId24"/>
    <sheet xmlns:r="http://schemas.openxmlformats.org/officeDocument/2006/relationships" name="Arquitetura Modular" sheetId="25" state="visible" r:id="rId25"/>
    <sheet xmlns:r="http://schemas.openxmlformats.org/officeDocument/2006/relationships" name="Concepções" sheetId="26" state="visible" r:id="rId26"/>
    <sheet xmlns:r="http://schemas.openxmlformats.org/officeDocument/2006/relationships" name="Cópia de MIM" sheetId="27" state="hidden" r:id="rId27"/>
    <sheet xmlns:r="http://schemas.openxmlformats.org/officeDocument/2006/relationships" name="Matriz Pugh das Concepções" sheetId="28" state="visible" r:id="rId28"/>
    <sheet xmlns:r="http://schemas.openxmlformats.org/officeDocument/2006/relationships" name="Lista de Materiais" sheetId="29" state="visible" r:id="rId29"/>
    <sheet xmlns:r="http://schemas.openxmlformats.org/officeDocument/2006/relationships" name="Viabilidade Técnica" sheetId="30" state="visible" r:id="rId30"/>
    <sheet xmlns:r="http://schemas.openxmlformats.org/officeDocument/2006/relationships" name="Análise de Valor" sheetId="31" state="visible" r:id="rId31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4" hidden="1">'Diagrama de Kano'!$B$2:$D$22</definedName>
    <definedName name="_xlnm._FilterDatabase" localSheetId="6" hidden="1">'Diagrama de Pareto'!$A$1:$F$21</definedName>
    <definedName name="_xlnm._FilterDatabase" localSheetId="10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R$ -416]#,##0.00"/>
    <numFmt numFmtId="165" formatCode="0.0%"/>
  </numFmts>
  <fonts count="64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  <font>
      <name val="Arial"/>
      <color rgb="001F2937"/>
      <sz val="10"/>
    </font>
    <font>
      <name val="Arial"/>
      <b val="1"/>
      <color rgb="001F2937"/>
      <sz val="10"/>
    </font>
  </fonts>
  <fills count="4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</fills>
  <borders count="4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</borders>
  <cellStyleXfs count="1">
    <xf numFmtId="0" fontId="0" fillId="0" borderId="0"/>
  </cellStyleXfs>
  <cellXfs count="50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62" fillId="0" borderId="0" pivotButton="0" quotePrefix="0" xfId="0"/>
    <xf numFmtId="0" fontId="63" fillId="0" borderId="42" applyAlignment="1" pivotButton="0" quotePrefix="0" xfId="0">
      <alignment horizontal="left" vertical="center" wrapText="1"/>
    </xf>
    <xf numFmtId="0" fontId="62" fillId="0" borderId="42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6" pivotButton="0" quotePrefix="0" xfId="0"/>
    <xf numFmtId="0" fontId="63" fillId="0" borderId="42" applyAlignment="1" pivotButton="0" quotePrefix="0" xfId="0">
      <alignment horizontal="center" vertical="center"/>
    </xf>
    <xf numFmtId="0" fontId="62" fillId="0" borderId="42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Pareto'!$B$2:$B$23</f>
            </numRef>
          </cat>
          <val>
            <numRef>
              <f>'Diagrama de Pareto'!$C$2:$C$23</f>
            </numRef>
          </val>
        </ser>
        <gapWidth val="25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 (ordem decrescente de pontuação)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de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2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e vibrações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 e estável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durável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bom custo-benefício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12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12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12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12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12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12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12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12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12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12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12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12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12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12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12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12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12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12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12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12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12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12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12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12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12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12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12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12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12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12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Projeto</t>
        </is>
      </c>
      <c r="C19" s="51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Projeto</t>
        </is>
      </c>
      <c r="C20" s="51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Projeto</t>
        </is>
      </c>
      <c r="C21" s="51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Projeto</t>
        </is>
      </c>
      <c r="C22" s="51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Fabricação</t>
        </is>
      </c>
      <c r="C23" s="51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Fabricação</t>
        </is>
      </c>
      <c r="C24" s="51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Fabricação</t>
        </is>
      </c>
      <c r="C25" s="51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Armazenagem de peças</t>
        </is>
      </c>
      <c r="C26" s="51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Armazenagem de peças</t>
        </is>
      </c>
      <c r="C27" s="51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Armazenagem de peças</t>
        </is>
      </c>
      <c r="C28" s="51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Montagem</t>
        </is>
      </c>
      <c r="C29" s="51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Montagem</t>
        </is>
      </c>
      <c r="C30" s="51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</t>
        </is>
      </c>
      <c r="C31" s="51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</t>
        </is>
      </c>
      <c r="C32" s="51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Armazenagem do produto</t>
        </is>
      </c>
      <c r="C33" s="51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Armazenagem do produto</t>
        </is>
      </c>
      <c r="C34" s="51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Armazenagem do produto</t>
        </is>
      </c>
      <c r="C35" s="51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Venda</t>
        </is>
      </c>
      <c r="C36" s="51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Venda</t>
        </is>
      </c>
      <c r="C37" s="51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Venda</t>
        </is>
      </c>
      <c r="C38" s="51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Distribuição</t>
        </is>
      </c>
      <c r="C39" s="51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Distribuição</t>
        </is>
      </c>
      <c r="C40" s="51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Distribuição</t>
        </is>
      </c>
      <c r="C41" s="51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no distribuidor</t>
        </is>
      </c>
      <c r="C42" s="51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no distribuidor</t>
        </is>
      </c>
      <c r="C43" s="51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no distribuidor</t>
        </is>
      </c>
      <c r="C44" s="51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no distribuidor</t>
        </is>
      </c>
      <c r="C45" s="51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Função</t>
        </is>
      </c>
      <c r="C46" s="51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Função</t>
        </is>
      </c>
      <c r="C47" s="51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Função</t>
        </is>
      </c>
      <c r="C48" s="51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Função</t>
        </is>
      </c>
      <c r="C49" s="51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Movimentação na obra</t>
        </is>
      </c>
      <c r="C50" s="51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Movimentação na obra</t>
        </is>
      </c>
      <c r="C51" s="51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Movimentação na obra</t>
        </is>
      </c>
      <c r="C52" s="51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Movimentação na obra</t>
        </is>
      </c>
      <c r="C53" s="51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Manutenção</t>
        </is>
      </c>
      <c r="C54" s="51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Manutenção</t>
        </is>
      </c>
      <c r="C55" s="51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Manutenção</t>
        </is>
      </c>
      <c r="C56" s="51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Retorno</t>
        </is>
      </c>
      <c r="C57" s="51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Retorno</t>
        </is>
      </c>
      <c r="C58" s="51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Retorno</t>
        </is>
      </c>
      <c r="C59" s="51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Descarte</t>
        </is>
      </c>
      <c r="C60" s="51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2" t="inlineStr">
        <is>
          <t>ID</t>
        </is>
      </c>
      <c r="B1" s="2" t="inlineStr">
        <is>
          <t>Etapa do ciclo de vida</t>
        </is>
      </c>
      <c r="C1" s="2" t="inlineStr">
        <is>
          <t>Necessidade (característica do produto)</t>
        </is>
      </c>
      <c r="D1" s="2" t="inlineStr">
        <is>
          <t>Atributo</t>
        </is>
      </c>
      <c r="E1" s="2" t="inlineStr">
        <is>
          <t>Letra</t>
        </is>
      </c>
      <c r="F1" s="2" t="inlineStr">
        <is>
          <t>Requisito do cliente</t>
        </is>
      </c>
      <c r="G1" s="2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 e vibração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e vibrações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veículo, a unitização e a amarração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portas e corredores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 e estável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e estável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 e estável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K</t>
        </is>
      </c>
      <c r="F19" s="465" t="inlineStr">
        <is>
          <t>Ser empilhável e estável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dimensões e tolerâncias repetíveis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durável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durável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Ser resistente à umidade e à corrosão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bom custo-benefício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bom custo-benefício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bom custo-benefício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bom custo-benefício</t>
        </is>
      </c>
      <c r="G45" s="465" t="inlineStr">
        <is>
          <t>Recursos e manufatura</t>
        </is>
      </c>
    </row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</sheetData>
  <mergeCells count="1">
    <mergeCell ref="A47:G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impactos e vibrações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conferência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Ser ajustável a diferentes louças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Ser de fácil movimentação</t>
        </is>
      </c>
      <c r="D8" s="57" t="inlineStr">
        <is>
          <t>Desempenho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retirada segura da louça</t>
        </is>
      </c>
      <c r="D10" s="57" t="inlineStr">
        <is>
          <t>Atrativo</t>
        </is>
      </c>
    </row>
    <row r="11">
      <c r="A11" s="193" t="n"/>
      <c r="B11" s="57" t="inlineStr">
        <is>
          <t>I</t>
        </is>
      </c>
      <c r="C11" s="57" t="inlineStr">
        <is>
          <t>Ser de uso intuitivo</t>
        </is>
      </c>
      <c r="D11" s="57" t="inlineStr">
        <is>
          <t>Básico</t>
        </is>
      </c>
    </row>
    <row r="12">
      <c r="A12" s="193" t="n"/>
      <c r="B12" s="57" t="inlineStr">
        <is>
          <t>J</t>
        </is>
      </c>
      <c r="C12" s="57" t="inlineStr">
        <is>
          <t>Ser compacto</t>
        </is>
      </c>
      <c r="D12" s="57" t="inlineStr">
        <is>
          <t>Desempenho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empilhável e estável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Ter desempenho uniforme</t>
        </is>
      </c>
      <c r="D14" s="57" t="inlineStr">
        <is>
          <t>Básico</t>
        </is>
      </c>
    </row>
    <row r="15">
      <c r="A15" s="193" t="n"/>
      <c r="B15" s="57" t="inlineStr">
        <is>
          <t>M</t>
        </is>
      </c>
      <c r="C15" s="57" t="inlineStr">
        <is>
          <t>Ter indicação visual de uso</t>
        </is>
      </c>
      <c r="D15" s="57" t="inlineStr">
        <is>
          <t>Atrativo</t>
        </is>
      </c>
    </row>
    <row r="16">
      <c r="B16" s="57" t="inlineStr">
        <is>
          <t>N</t>
        </is>
      </c>
      <c r="C16" s="57" t="inlineStr">
        <is>
          <t>Ter identificação visível</t>
        </is>
      </c>
      <c r="D16" s="57" t="inlineStr">
        <is>
          <t>Atrativo</t>
        </is>
      </c>
    </row>
    <row r="17">
      <c r="B17" s="57" t="inlineStr">
        <is>
          <t>O</t>
        </is>
      </c>
      <c r="C17" s="57" t="inlineStr">
        <is>
          <t>Ser durável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Ser resistente a intempéries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manutenção simples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Ser de fácil desmontagem</t>
        </is>
      </c>
      <c r="D20" s="57" t="inlineStr">
        <is>
          <t>Desempenho</t>
        </is>
      </c>
    </row>
    <row r="21">
      <c r="B21" s="57" t="inlineStr">
        <is>
          <t>S</t>
        </is>
      </c>
      <c r="C21" s="57" t="inlineStr">
        <is>
          <t>Ter materiais recicláveis</t>
        </is>
      </c>
      <c r="D21" s="57" t="inlineStr">
        <is>
          <t>Atrativo</t>
        </is>
      </c>
      <c r="F21" s="215" t="n"/>
    </row>
    <row r="22" s="463">
      <c r="B22" s="57" t="inlineStr">
        <is>
          <t>T</t>
        </is>
      </c>
      <c r="C22" s="57" t="inlineStr">
        <is>
          <t>Ter peças modulares</t>
        </is>
      </c>
      <c r="D22" s="57" t="inlineStr">
        <is>
          <t>Desempenho</t>
        </is>
      </c>
    </row>
    <row r="23">
      <c r="B23" s="57" t="inlineStr">
        <is>
          <t>U</t>
        </is>
      </c>
      <c r="C23" s="57" t="inlineStr">
        <is>
          <t>Ter montagem em poucas etapas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Ter bom custo-benefício</t>
        </is>
      </c>
      <c r="D24" s="57" t="inlineStr">
        <is>
          <t>Desempenho</t>
        </is>
      </c>
      <c r="F24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2:AI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Somatório da letra</t>
        </is>
      </c>
      <c r="AD5" s="32" t="inlineStr">
        <is>
          <t>frequência</t>
        </is>
      </c>
    </row>
    <row r="6" ht="20.25" customHeight="1" s="463">
      <c r="A6" s="193" t="n"/>
      <c r="B6" s="34" t="inlineStr">
        <is>
          <t>Amortecer impactos e vibrações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B1</t>
        </is>
      </c>
      <c r="I6" s="38" t="inlineStr">
        <is>
          <t>A1</t>
        </is>
      </c>
      <c r="J6" s="38" t="inlineStr">
        <is>
          <t>A1</t>
        </is>
      </c>
      <c r="K6" s="38" t="inlineStr">
        <is>
          <t>A3</t>
        </is>
      </c>
      <c r="L6" s="38" t="inlineStr">
        <is>
          <t>F1</t>
        </is>
      </c>
      <c r="M6" s="38" t="inlineStr">
        <is>
          <t>A1</t>
        </is>
      </c>
      <c r="N6" s="38" t="inlineStr">
        <is>
          <t>A1</t>
        </is>
      </c>
      <c r="O6" s="38" t="inlineStr">
        <is>
          <t>A3</t>
        </is>
      </c>
      <c r="P6" s="38" t="inlineStr">
        <is>
          <t>A3</t>
        </is>
      </c>
      <c r="Q6" s="38" t="inlineStr">
        <is>
          <t>A3</t>
        </is>
      </c>
      <c r="R6" s="38" t="inlineStr">
        <is>
          <t>A3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A3</t>
        </is>
      </c>
      <c r="AC6" s="38">
        <f>COUNTIF($G$6:$AB$27,F6&amp;"1")+COUNTIF($G$6:$AB$27,F6&amp;"3")*3+COUNTIF($G$6:$AB$27,F6&amp;"5")*5</f>
        <v/>
      </c>
      <c r="AD6" s="38">
        <f>AC6/$AC$28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B3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B3</t>
        </is>
      </c>
      <c r="P7" s="38" t="inlineStr">
        <is>
          <t>B3</t>
        </is>
      </c>
      <c r="Q7" s="38" t="inlineStr">
        <is>
          <t>B3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B3</t>
        </is>
      </c>
      <c r="AC7" s="38">
        <f>COUNTIF($G$6:$AB$27,F7&amp;"1")+COUNTIF($G$6:$AB$27,F7&amp;"3")*3+COUNTIF($G$6:$AB$27,F7&amp;"5")*5</f>
        <v/>
      </c>
      <c r="AD7" s="38">
        <f>AC7/$AC$28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C1</t>
        </is>
      </c>
      <c r="K8" s="38" t="inlineStr">
        <is>
          <t>C1</t>
        </is>
      </c>
      <c r="L8" s="38" t="inlineStr">
        <is>
          <t>F1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C1</t>
        </is>
      </c>
      <c r="P8" s="38" t="inlineStr">
        <is>
          <t>C3</t>
        </is>
      </c>
      <c r="Q8" s="38" t="inlineStr">
        <is>
          <t>C1</t>
        </is>
      </c>
      <c r="R8" s="38" t="inlineStr">
        <is>
          <t>C3</t>
        </is>
      </c>
      <c r="S8" s="38" t="inlineStr">
        <is>
          <t>C3</t>
        </is>
      </c>
      <c r="T8" s="38" t="inlineStr">
        <is>
          <t>C5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C1</t>
        </is>
      </c>
      <c r="AC8" s="38">
        <f>COUNTIF($G$6:$AB$27,F8&amp;"1")+COUNTIF($G$6:$AB$27,F8&amp;"3")*3+COUNTIF($G$6:$AB$27,F8&amp;"5")*5</f>
        <v/>
      </c>
      <c r="AD8" s="38">
        <f>AC8/$AC$28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D1</t>
        </is>
      </c>
      <c r="L9" s="38" t="inlineStr">
        <is>
          <t>F3</t>
        </is>
      </c>
      <c r="M9" s="38" t="inlineStr">
        <is>
          <t>D1</t>
        </is>
      </c>
      <c r="N9" s="38" t="inlineStr">
        <is>
          <t>D1</t>
        </is>
      </c>
      <c r="O9" s="38" t="inlineStr">
        <is>
          <t>D1</t>
        </is>
      </c>
      <c r="P9" s="38" t="inlineStr">
        <is>
          <t>D1</t>
        </is>
      </c>
      <c r="Q9" s="38" t="inlineStr">
        <is>
          <t>D1</t>
        </is>
      </c>
      <c r="R9" s="38" t="inlineStr">
        <is>
          <t>D1</t>
        </is>
      </c>
      <c r="S9" s="38" t="inlineStr">
        <is>
          <t>D3</t>
        </is>
      </c>
      <c r="T9" s="38" t="inlineStr">
        <is>
          <t>D3</t>
        </is>
      </c>
      <c r="U9" s="38" t="inlineStr">
        <is>
          <t>D1</t>
        </is>
      </c>
      <c r="V9" s="38" t="inlineStr">
        <is>
          <t>D3</t>
        </is>
      </c>
      <c r="W9" s="38" t="inlineStr">
        <is>
          <t>D3</t>
        </is>
      </c>
      <c r="X9" s="38" t="inlineStr">
        <is>
          <t>D5</t>
        </is>
      </c>
      <c r="Y9" s="38" t="inlineStr">
        <is>
          <t>D5</t>
        </is>
      </c>
      <c r="Z9" s="38" t="inlineStr">
        <is>
          <t>D3</t>
        </is>
      </c>
      <c r="AA9" s="38" t="inlineStr">
        <is>
          <t>D3</t>
        </is>
      </c>
      <c r="AB9" s="38" t="inlineStr">
        <is>
          <t>D1</t>
        </is>
      </c>
      <c r="AC9" s="38">
        <f>COUNTIF($G$6:$AB$27,F9&amp;"1")+COUNTIF($G$6:$AB$27,F9&amp;"3")*3+COUNTIF($G$6:$AB$27,F9&amp;"5")*5</f>
        <v/>
      </c>
      <c r="AD9" s="38">
        <f>AC9/$AC$28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E0</t>
        </is>
      </c>
      <c r="R10" s="38" t="inlineStr">
        <is>
          <t>E1</t>
        </is>
      </c>
      <c r="S10" s="38" t="inlineStr">
        <is>
          <t>E1</t>
        </is>
      </c>
      <c r="T10" s="38" t="inlineStr">
        <is>
          <t>E3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E3</t>
        </is>
      </c>
      <c r="AA10" s="38" t="inlineStr">
        <is>
          <t>E3</t>
        </is>
      </c>
      <c r="AB10" s="38" t="inlineStr">
        <is>
          <t>E1</t>
        </is>
      </c>
      <c r="AC10" s="38">
        <f>COUNTIF($G$6:$AB$27,F10&amp;"1")+COUNTIF($G$6:$AB$27,F10&amp;"3")*3+COUNTIF($G$6:$AB$27,F10&amp;"5")*5</f>
        <v/>
      </c>
      <c r="AD10" s="38">
        <f>AC10/$AC$28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F3</t>
        </is>
      </c>
      <c r="N11" s="38" t="inlineStr">
        <is>
          <t>F3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F3</t>
        </is>
      </c>
      <c r="V11" s="38" t="inlineStr">
        <is>
          <t>F5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F5</t>
        </is>
      </c>
      <c r="AA11" s="38" t="inlineStr">
        <is>
          <t>F5</t>
        </is>
      </c>
      <c r="AB11" s="38" t="inlineStr">
        <is>
          <t>F3</t>
        </is>
      </c>
      <c r="AC11" s="38">
        <f>COUNTIF($G$6:$AB$27,F11&amp;"1")+COUNTIF($G$6:$AB$27,F11&amp;"3")*3+COUNTIF($G$6:$AB$27,F11&amp;"5")*5</f>
        <v/>
      </c>
      <c r="AD11" s="38">
        <f>AC11/$AC$28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G1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G1</t>
        </is>
      </c>
      <c r="AC12" s="38">
        <f>COUNTIF($G$6:$AB$27,F12&amp;"1")+COUNTIF($G$6:$AB$27,F12&amp;"3")*3+COUNTIF($G$6:$AB$27,F12&amp;"5")*5</f>
        <v/>
      </c>
      <c r="AD12" s="38">
        <f>AC12/$AC$28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H1</t>
        </is>
      </c>
      <c r="P13" s="38" t="inlineStr">
        <is>
          <t>H1</t>
        </is>
      </c>
      <c r="Q13" s="38" t="inlineStr">
        <is>
          <t>H1</t>
        </is>
      </c>
      <c r="R13" s="38" t="inlineStr">
        <is>
          <t>H1</t>
        </is>
      </c>
      <c r="S13" s="38" t="inlineStr">
        <is>
          <t>H3</t>
        </is>
      </c>
      <c r="T13" s="38" t="inlineStr">
        <is>
          <t>H3</t>
        </is>
      </c>
      <c r="U13" s="38" t="inlineStr">
        <is>
          <t>H1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H1</t>
        </is>
      </c>
      <c r="AC13" s="38">
        <f>COUNTIF($G$6:$AB$27,F13&amp;"1")+COUNTIF($G$6:$AB$27,F13&amp;"3")*3+COUNTIF($G$6:$AB$27,F13&amp;"5")*5</f>
        <v/>
      </c>
      <c r="AD13" s="38">
        <f>AC13/$AC$28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I1</t>
        </is>
      </c>
      <c r="Q14" s="38" t="inlineStr">
        <is>
          <t>K1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I1</t>
        </is>
      </c>
      <c r="V14" s="38" t="inlineStr">
        <is>
          <t>I1</t>
        </is>
      </c>
      <c r="W14" s="38" t="inlineStr">
        <is>
          <t>I3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I3</t>
        </is>
      </c>
      <c r="AA14" s="38" t="inlineStr">
        <is>
          <t>I3</t>
        </is>
      </c>
      <c r="AB14" s="38" t="inlineStr">
        <is>
          <t>V1</t>
        </is>
      </c>
      <c r="AC14" s="38">
        <f>COUNTIF($G$6:$AB$27,F14&amp;"1")+COUNTIF($G$6:$AB$27,F14&amp;"3")*3+COUNTIF($G$6:$AB$27,F14&amp;"5")*5</f>
        <v/>
      </c>
      <c r="AD14" s="38">
        <f>AC14/$AC$28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L1</t>
        </is>
      </c>
      <c r="S15" s="38" t="inlineStr">
        <is>
          <t>J1</t>
        </is>
      </c>
      <c r="T15" s="38" t="inlineStr">
        <is>
          <t>J3</t>
        </is>
      </c>
      <c r="U15" s="38" t="inlineStr">
        <is>
          <t>J0</t>
        </is>
      </c>
      <c r="V15" s="38" t="inlineStr">
        <is>
          <t>J1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V1</t>
        </is>
      </c>
      <c r="AC15" s="38">
        <f>COUNTIF($G$6:$AB$27,F15&amp;"1")+COUNTIF($G$6:$AB$27,F15&amp;"3")*3+COUNTIF($G$6:$AB$27,F15&amp;"5")*5</f>
        <v/>
      </c>
      <c r="AD15" s="38">
        <f>AC15/$AC$28</f>
        <v/>
      </c>
    </row>
    <row r="16">
      <c r="B16" s="34" t="inlineStr">
        <is>
          <t>Ser empilhável e estável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K1</t>
        </is>
      </c>
      <c r="T16" s="38" t="inlineStr">
        <is>
          <t>K3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K3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K3</t>
        </is>
      </c>
      <c r="AA16" s="38" t="inlineStr">
        <is>
          <t>K3</t>
        </is>
      </c>
      <c r="AB16" s="38" t="inlineStr">
        <is>
          <t>K1</t>
        </is>
      </c>
      <c r="AC16" s="38">
        <f>COUNTIF($G$6:$AB$27,F16&amp;"1")+COUNTIF($G$6:$AB$27,F16&amp;"3")*3+COUNTIF($G$6:$AB$27,F16&amp;"5")*5</f>
        <v/>
      </c>
      <c r="AD16" s="38">
        <f>AC16/$AC$28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L3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L3</t>
        </is>
      </c>
      <c r="Y17" s="38" t="inlineStr">
        <is>
          <t>L3</t>
        </is>
      </c>
      <c r="Z17" s="38" t="inlineStr">
        <is>
          <t>L1</t>
        </is>
      </c>
      <c r="AA17" s="38" t="inlineStr">
        <is>
          <t>L1</t>
        </is>
      </c>
      <c r="AB17" s="38" t="inlineStr">
        <is>
          <t>V1</t>
        </is>
      </c>
      <c r="AC17" s="38">
        <f>COUNTIF($G$6:$AB$27,F17&amp;"1")+COUNTIF($G$6:$AB$27,F17&amp;"3")*3+COUNTIF($G$6:$AB$27,F17&amp;"5")*5</f>
        <v/>
      </c>
      <c r="AD17" s="38">
        <f>AC17/$AC$28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O1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M3</t>
        </is>
      </c>
      <c r="Y18" s="38" t="inlineStr">
        <is>
          <t>M3</t>
        </is>
      </c>
      <c r="Z18" s="38" t="inlineStr">
        <is>
          <t>M1</t>
        </is>
      </c>
      <c r="AA18" s="38" t="inlineStr">
        <is>
          <t>M1</t>
        </is>
      </c>
      <c r="AB18" s="38" t="inlineStr">
        <is>
          <t>V1</t>
        </is>
      </c>
      <c r="AC18" s="38">
        <f>COUNTIF($G$6:$AB$27,F18&amp;"1")+COUNTIF($G$6:$AB$27,F18&amp;"3")*3+COUNTIF($G$6:$AB$27,F18&amp;"5")*5</f>
        <v/>
      </c>
      <c r="AD18" s="38">
        <f>AC18/$AC$28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P1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V3</t>
        </is>
      </c>
      <c r="AC19" s="38">
        <f>COUNTIF($G$6:$AB$27,F19&amp;"1")+COUNTIF($G$6:$AB$27,F19&amp;"3")*3+COUNTIF($G$6:$AB$27,F19&amp;"5")*5</f>
        <v/>
      </c>
      <c r="AD19" s="38">
        <f>AC19/$AC$28</f>
        <v/>
      </c>
    </row>
    <row r="20">
      <c r="A20" s="26" t="n"/>
      <c r="B20" s="34" t="inlineStr">
        <is>
          <t>Ser durável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O1</t>
        </is>
      </c>
      <c r="X20" s="38" t="inlineStr">
        <is>
          <t>O3</t>
        </is>
      </c>
      <c r="Y20" s="38" t="inlineStr">
        <is>
          <t>O3</t>
        </is>
      </c>
      <c r="Z20" s="38" t="inlineStr">
        <is>
          <t>O1</t>
        </is>
      </c>
      <c r="AA20" s="38" t="inlineStr">
        <is>
          <t>O1</t>
        </is>
      </c>
      <c r="AB20" s="38" t="inlineStr">
        <is>
          <t>V1</t>
        </is>
      </c>
      <c r="AC20" s="38">
        <f>COUNTIF($G$6:$AB$27,F20&amp;"1")+COUNTIF($G$6:$AB$27,F20&amp;"3")*3+COUNTIF($G$6:$AB$27,F20&amp;"5")*5</f>
        <v/>
      </c>
      <c r="AD20" s="38">
        <f>AC20/$AC$28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V1</t>
        </is>
      </c>
      <c r="AC21" s="38">
        <f>COUNTIF($G$6:$AB$27,F21&amp;"1")+COUNTIF($G$6:$AB$27,F21&amp;"3")*3+COUNTIF($G$6:$AB$27,F21&amp;"5")*5</f>
        <v/>
      </c>
      <c r="AD21" s="38">
        <f>AC21/$AC$28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T1</t>
        </is>
      </c>
      <c r="AA22" s="38" t="inlineStr">
        <is>
          <t>Q0</t>
        </is>
      </c>
      <c r="AB22" s="38" t="inlineStr">
        <is>
          <t>V3</t>
        </is>
      </c>
      <c r="AC22" s="38">
        <f>COUNTIF($G$6:$AB$27,F22&amp;"1")+COUNTIF($G$6:$AB$27,F22&amp;"3")*3+COUNTIF($G$6:$AB$27,F22&amp;"5")*5</f>
        <v/>
      </c>
      <c r="AD22" s="38">
        <f>AC22/$AC$28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R0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V3</t>
        </is>
      </c>
      <c r="AC23" s="38">
        <f>COUNTIF($G$6:$AB$27,F23&amp;"1")+COUNTIF($G$6:$AB$27,F23&amp;"3")*3+COUNTIF($G$6:$AB$27,F23&amp;"5")*5</f>
        <v/>
      </c>
      <c r="AD23" s="38">
        <f>AC23/$AC$28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V3</t>
        </is>
      </c>
      <c r="AC24" s="38">
        <f>COUNTIF($G$6:$AB$27,F24&amp;"1")+COUNTIF($G$6:$AB$27,F24&amp;"3")*3+COUNTIF($G$6:$AB$27,F24&amp;"5")*5</f>
        <v/>
      </c>
      <c r="AD24" s="38">
        <f>AC24/$AC$28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V3</t>
        </is>
      </c>
      <c r="AC25" s="38">
        <f>COUNTIF($G$6:$AB$27,F25&amp;"1")+COUNTIF($G$6:$AB$27,F25&amp;"3")*3+COUNTIF($G$6:$AB$27,F25&amp;"5")*5</f>
        <v/>
      </c>
      <c r="AD25" s="38">
        <f>AC25/$AC$28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V3</t>
        </is>
      </c>
      <c r="AC26" s="38">
        <f>COUNTIF($G$6:$AB$27,F26&amp;"1")+COUNTIF($G$6:$AB$27,F26&amp;"3")*3+COUNTIF($G$6:$AB$27,F26&amp;"5")*5</f>
        <v/>
      </c>
      <c r="AD26" s="38">
        <f>AC26/$AC$28</f>
        <v/>
      </c>
    </row>
    <row r="27">
      <c r="B27" s="34" t="inlineStr">
        <is>
          <t>Ter bom custo-benefício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>
        <f>COUNTIF($G$6:$AB$27,F27&amp;"1")+COUNTIF($G$6:$AB$27,F27&amp;"3")*3+COUNTIF($G$6:$AB$27,F27&amp;"5")*5</f>
        <v/>
      </c>
      <c r="AD27" s="38">
        <f>AC27/$AC$28</f>
        <v/>
      </c>
    </row>
    <row r="28">
      <c r="B28" s="34" t="n"/>
      <c r="C28" s="32" t="n"/>
      <c r="D28" s="215" t="n"/>
      <c r="E28" s="60" t="n"/>
      <c r="F28" s="96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inlineStr">
        <is>
          <t>Total</t>
        </is>
      </c>
      <c r="AC28" s="38">
        <f>SUM(AC6:AC27)</f>
        <v/>
      </c>
      <c r="AD28" s="38" t="n"/>
    </row>
    <row r="29">
      <c r="B29" s="215" t="n"/>
      <c r="C29" s="89" t="n"/>
    </row>
    <row r="30">
      <c r="B30" s="215" t="inlineStr">
        <is>
          <t>Um requisito é considerado muito mais importante do que o outro (VALOR 5)</t>
        </is>
      </c>
      <c r="C30" s="89" t="n"/>
    </row>
    <row r="31">
      <c r="A31" s="104" t="n"/>
      <c r="B31" s="215" t="inlineStr">
        <is>
          <t>Um requisito é considerado mais importante do que o outro (VALOR 3)</t>
        </is>
      </c>
      <c r="C31" s="89" t="n"/>
    </row>
    <row r="32">
      <c r="A32" s="104" t="n"/>
      <c r="B32" t="inlineStr">
        <is>
          <t>Um requisito é considerado pouco mais importante do que o outro (VALOR 1)</t>
        </is>
      </c>
    </row>
    <row r="33">
      <c r="A33" s="104" t="n"/>
      <c r="B33" s="105" t="inlineStr">
        <is>
          <t>Os requisitos são considerados de igual importância (VALOR 0)</t>
        </is>
      </c>
      <c r="C33" s="106" t="n"/>
      <c r="D33" s="106" t="n"/>
    </row>
    <row r="34">
      <c r="A34" s="467" t="n"/>
      <c r="B34" s="467" t="n"/>
      <c r="C34" s="467" t="n"/>
      <c r="D34" s="467" t="n"/>
      <c r="E34" s="467" t="n"/>
      <c r="F34" s="467" t="n"/>
      <c r="G34" s="467" t="n"/>
      <c r="H34" s="467" t="n"/>
      <c r="I34" s="467" t="n"/>
      <c r="J34" s="467" t="n"/>
      <c r="K34" s="467" t="n"/>
      <c r="L34" s="467" t="n"/>
      <c r="M34" s="467" t="n"/>
      <c r="N34" s="467" t="n"/>
      <c r="O34" s="467" t="n"/>
      <c r="P34" s="467" t="n"/>
      <c r="Q34" s="467" t="n"/>
      <c r="R34" s="467" t="n"/>
      <c r="S34" s="467" t="n"/>
      <c r="T34" s="467" t="n"/>
      <c r="U34" s="467" t="n"/>
      <c r="V34" s="467" t="n"/>
      <c r="W34" s="467" t="n"/>
      <c r="X34" s="467" t="n"/>
      <c r="Y34" s="467" t="n"/>
      <c r="Z34" s="467" t="n"/>
      <c r="AA34" s="467" t="n"/>
      <c r="AB34" s="467" t="n"/>
      <c r="AC34" s="467" t="n"/>
      <c r="AD34" s="467" t="n"/>
      <c r="AE34" s="467" t="n"/>
      <c r="AF34" s="467" t="n"/>
      <c r="AG34" s="467" t="n"/>
      <c r="AH34" s="467" t="n"/>
      <c r="AI34" s="467" t="n"/>
    </row>
    <row r="35">
      <c r="A35" s="467" t="n"/>
      <c r="B35" s="467" t="inlineStr">
        <is>
          <t>Base da comparação: cada requisito recebe nota 0 a 5 em três critérios ancorados no problema definido e nas evidências de campo. O par é decidido pela diferença entre as somas; empate na soma é desempatado pelo critério C1. Primeiro passe da equipe, a revalidar com o distribuidor antes do QFD.</t>
        </is>
      </c>
      <c r="C35" s="467" t="n"/>
      <c r="D35" s="467" t="n"/>
      <c r="E35" s="467" t="n"/>
      <c r="F35" s="467" t="n"/>
      <c r="G35" s="467" t="n"/>
      <c r="H35" s="467" t="n"/>
      <c r="I35" s="467" t="n"/>
      <c r="J35" s="467" t="n"/>
      <c r="K35" s="467" t="n"/>
      <c r="L35" s="467" t="n"/>
      <c r="M35" s="467" t="n"/>
      <c r="N35" s="467" t="n"/>
      <c r="O35" s="467" t="n"/>
      <c r="P35" s="467" t="n"/>
      <c r="Q35" s="467" t="n"/>
      <c r="R35" s="467" t="n"/>
      <c r="S35" s="467" t="n"/>
      <c r="T35" s="467" t="n"/>
      <c r="U35" s="467" t="n"/>
      <c r="V35" s="467" t="n"/>
      <c r="W35" s="467" t="n"/>
      <c r="X35" s="467" t="n"/>
      <c r="Y35" s="467" t="n"/>
      <c r="Z35" s="467" t="n"/>
      <c r="AA35" s="467" t="n"/>
      <c r="AB35" s="467" t="n"/>
      <c r="AC35" s="467" t="n"/>
      <c r="AD35" s="467" t="n"/>
      <c r="AE35" s="467" t="n"/>
      <c r="AF35" s="467" t="n"/>
      <c r="AG35" s="467" t="n"/>
      <c r="AH35" s="467" t="n"/>
      <c r="AI35" s="467" t="n"/>
    </row>
    <row r="36">
      <c r="A36" s="467" t="n"/>
      <c r="B36" s="467" t="n"/>
      <c r="C36" s="467" t="n"/>
      <c r="D36" s="467" t="n"/>
      <c r="E36" s="467" t="n"/>
      <c r="F36" s="467" t="n"/>
      <c r="G36" s="467" t="n"/>
      <c r="H36" s="467" t="n"/>
      <c r="I36" s="467" t="n"/>
      <c r="J36" s="467" t="n"/>
      <c r="K36" s="467" t="n"/>
      <c r="L36" s="467" t="n"/>
      <c r="M36" s="467" t="n"/>
      <c r="N36" s="467" t="n"/>
      <c r="O36" s="467" t="n"/>
      <c r="P36" s="467" t="n"/>
      <c r="Q36" s="467" t="n"/>
      <c r="R36" s="467" t="n"/>
      <c r="S36" s="467" t="n"/>
      <c r="T36" s="467" t="n"/>
      <c r="U36" s="467" t="n"/>
      <c r="V36" s="467" t="n"/>
      <c r="W36" s="467" t="n"/>
      <c r="X36" s="467" t="n"/>
      <c r="Y36" s="467" t="n"/>
      <c r="Z36" s="467" t="n"/>
      <c r="AA36" s="467" t="n"/>
      <c r="AB36" s="467" t="n"/>
      <c r="AC36" s="467" t="n"/>
      <c r="AD36" s="467" t="n"/>
      <c r="AE36" s="467" t="n"/>
      <c r="AF36" s="467" t="n"/>
      <c r="AG36" s="467" t="n"/>
      <c r="AH36" s="467" t="n"/>
      <c r="AI36" s="467" t="n"/>
    </row>
    <row r="37">
      <c r="A37" s="467" t="n"/>
      <c r="B37" s="468" t="inlineStr">
        <is>
          <t>C1 · Avaria</t>
        </is>
      </c>
      <c r="C37" s="469" t="inlineStr">
        <is>
          <t>Reduz diretamente a quebra no trecho distribuidor–obra</t>
        </is>
      </c>
      <c r="D37" s="470" t="n"/>
      <c r="E37" s="470" t="n"/>
      <c r="F37" s="471" t="n"/>
      <c r="G37" s="467" t="n"/>
      <c r="H37" s="467" t="n"/>
      <c r="I37" s="467" t="n"/>
      <c r="J37" s="467" t="n"/>
      <c r="K37" s="467" t="n"/>
      <c r="L37" s="467" t="n"/>
      <c r="M37" s="467" t="n"/>
      <c r="N37" s="467" t="n"/>
      <c r="O37" s="467" t="n"/>
      <c r="P37" s="467" t="n"/>
      <c r="Q37" s="467" t="n"/>
      <c r="R37" s="467" t="n"/>
      <c r="S37" s="467" t="n"/>
      <c r="T37" s="467" t="n"/>
      <c r="U37" s="467" t="n"/>
      <c r="V37" s="467" t="n"/>
      <c r="W37" s="467" t="n"/>
      <c r="X37" s="467" t="n"/>
      <c r="Y37" s="467" t="n"/>
      <c r="Z37" s="467" t="n"/>
      <c r="AA37" s="467" t="n"/>
      <c r="AB37" s="467" t="n"/>
      <c r="AC37" s="467" t="n"/>
      <c r="AD37" s="467" t="n"/>
      <c r="AE37" s="467" t="n"/>
      <c r="AF37" s="467" t="n"/>
      <c r="AG37" s="467" t="n"/>
      <c r="AH37" s="467" t="n"/>
      <c r="AI37" s="467" t="n"/>
    </row>
    <row r="38">
      <c r="A38" s="467" t="n"/>
      <c r="B38" s="468" t="inlineStr">
        <is>
          <t>C2 · Trabalhador</t>
        </is>
      </c>
      <c r="C38" s="469" t="inlineStr">
        <is>
          <t>Reduz esforço, queda e exposição a corte</t>
        </is>
      </c>
      <c r="D38" s="470" t="n"/>
      <c r="E38" s="470" t="n"/>
      <c r="F38" s="471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</row>
    <row r="39">
      <c r="A39" s="467" t="n"/>
      <c r="B39" s="468" t="inlineStr">
        <is>
          <t>C3 · Adoção</t>
        </is>
      </c>
      <c r="C39" s="469" t="inlineStr">
        <is>
          <t>Determina o distribuidor comprar e usar: custo, ritmo e compatibilidade</t>
        </is>
      </c>
      <c r="D39" s="470" t="n"/>
      <c r="E39" s="470" t="n"/>
      <c r="F39" s="471" t="n"/>
      <c r="G39" s="467" t="n"/>
      <c r="H39" s="467" t="n"/>
      <c r="I39" s="467" t="n"/>
      <c r="J39" s="467" t="n"/>
      <c r="K39" s="467" t="n"/>
      <c r="L39" s="467" t="n"/>
      <c r="M39" s="467" t="n"/>
      <c r="N39" s="467" t="n"/>
      <c r="O39" s="467" t="n"/>
      <c r="P39" s="467" t="n"/>
      <c r="Q39" s="467" t="n"/>
      <c r="R39" s="467" t="n"/>
      <c r="S39" s="467" t="n"/>
      <c r="T39" s="467" t="n"/>
      <c r="U39" s="467" t="n"/>
      <c r="V39" s="467" t="n"/>
      <c r="W39" s="467" t="n"/>
      <c r="X39" s="467" t="n"/>
      <c r="Y39" s="467" t="n"/>
      <c r="Z39" s="467" t="n"/>
      <c r="AA39" s="467" t="n"/>
      <c r="AB39" s="467" t="n"/>
      <c r="AC39" s="467" t="n"/>
      <c r="AD39" s="467" t="n"/>
      <c r="AE39" s="467" t="n"/>
      <c r="AF39" s="467" t="n"/>
      <c r="AG39" s="467" t="n"/>
      <c r="AH39" s="467" t="n"/>
      <c r="AI39" s="467" t="n"/>
    </row>
    <row r="40">
      <c r="A40" s="467" t="n"/>
      <c r="B40" s="467" t="n"/>
      <c r="C40" s="467" t="n"/>
      <c r="D40" s="467" t="n"/>
      <c r="E40" s="467" t="n"/>
      <c r="F40" s="467" t="n"/>
      <c r="G40" s="467" t="n"/>
      <c r="H40" s="467" t="n"/>
      <c r="I40" s="467" t="n"/>
      <c r="J40" s="467" t="n"/>
      <c r="K40" s="467" t="n"/>
      <c r="L40" s="467" t="n"/>
      <c r="M40" s="467" t="n"/>
      <c r="N40" s="467" t="n"/>
      <c r="O40" s="467" t="n"/>
      <c r="P40" s="467" t="n"/>
      <c r="Q40" s="467" t="n"/>
      <c r="R40" s="467" t="n"/>
      <c r="S40" s="467" t="n"/>
      <c r="T40" s="467" t="n"/>
      <c r="U40" s="467" t="n"/>
      <c r="V40" s="467" t="n"/>
      <c r="W40" s="467" t="n"/>
      <c r="X40" s="467" t="n"/>
      <c r="Y40" s="467" t="n"/>
      <c r="Z40" s="467" t="n"/>
      <c r="AA40" s="467" t="n"/>
      <c r="AB40" s="467" t="n"/>
      <c r="AC40" s="467" t="n"/>
      <c r="AD40" s="467" t="n"/>
      <c r="AE40" s="467" t="n"/>
      <c r="AF40" s="467" t="n"/>
      <c r="AG40" s="467" t="n"/>
      <c r="AH40" s="467" t="n"/>
      <c r="AI40" s="467" t="n"/>
    </row>
    <row r="41">
      <c r="A41" s="467" t="n"/>
      <c r="B41" s="468" t="inlineStr">
        <is>
          <t>Requisito do cliente</t>
        </is>
      </c>
      <c r="C41" s="472" t="inlineStr">
        <is>
          <t>ID</t>
        </is>
      </c>
      <c r="D41" s="472" t="inlineStr">
        <is>
          <t>C1</t>
        </is>
      </c>
      <c r="E41" s="472" t="inlineStr">
        <is>
          <t>C2</t>
        </is>
      </c>
      <c r="F41" s="472" t="inlineStr">
        <is>
          <t>C3</t>
        </is>
      </c>
      <c r="G41" s="472" t="inlineStr">
        <is>
          <t>Soma</t>
        </is>
      </c>
      <c r="H41" s="467" t="n"/>
      <c r="I41" s="467" t="n"/>
      <c r="J41" s="467" t="n"/>
      <c r="K41" s="467" t="n"/>
      <c r="L41" s="467" t="n"/>
      <c r="M41" s="467" t="n"/>
      <c r="N41" s="467" t="n"/>
      <c r="O41" s="467" t="n"/>
      <c r="P41" s="467" t="n"/>
      <c r="Q41" s="467" t="n"/>
      <c r="R41" s="467" t="n"/>
      <c r="S41" s="467" t="n"/>
      <c r="T41" s="467" t="n"/>
      <c r="U41" s="467" t="n"/>
      <c r="V41" s="467" t="n"/>
      <c r="W41" s="467" t="n"/>
      <c r="X41" s="467" t="n"/>
      <c r="Y41" s="467" t="n"/>
      <c r="Z41" s="467" t="n"/>
      <c r="AA41" s="467" t="n"/>
      <c r="AB41" s="467" t="n"/>
      <c r="AC41" s="467" t="n"/>
      <c r="AD41" s="467" t="n"/>
      <c r="AE41" s="467" t="n"/>
      <c r="AF41" s="467" t="n"/>
      <c r="AG41" s="467" t="n"/>
      <c r="AH41" s="467" t="n"/>
      <c r="AI41" s="467" t="n"/>
    </row>
    <row r="42">
      <c r="A42" s="467" t="n"/>
      <c r="B42" s="469" t="inlineStr">
        <is>
          <t>Amortecer impactos e vibrações</t>
        </is>
      </c>
      <c r="C42" s="473" t="inlineStr">
        <is>
          <t>A</t>
        </is>
      </c>
      <c r="D42" s="473" t="n">
        <v>5</v>
      </c>
      <c r="E42" s="473" t="n">
        <v>2</v>
      </c>
      <c r="F42" s="473" t="n">
        <v>3</v>
      </c>
      <c r="G42" s="472" t="n">
        <v>10</v>
      </c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</row>
    <row r="43">
      <c r="A43" s="467" t="n"/>
      <c r="B43" s="469" t="inlineStr">
        <is>
          <t>Imobilizar a louça</t>
        </is>
      </c>
      <c r="C43" s="473" t="inlineStr">
        <is>
          <t>B</t>
        </is>
      </c>
      <c r="D43" s="473" t="n">
        <v>5</v>
      </c>
      <c r="E43" s="473" t="n">
        <v>3</v>
      </c>
      <c r="F43" s="473" t="n">
        <v>3</v>
      </c>
      <c r="G43" s="472" t="n">
        <v>11</v>
      </c>
      <c r="H43" s="467" t="n"/>
      <c r="I43" s="467" t="n"/>
      <c r="J43" s="467" t="n"/>
      <c r="K43" s="467" t="n"/>
      <c r="L43" s="467" t="n"/>
      <c r="M43" s="467" t="n"/>
      <c r="N43" s="467" t="n"/>
      <c r="O43" s="467" t="n"/>
      <c r="P43" s="467" t="n"/>
      <c r="Q43" s="467" t="n"/>
      <c r="R43" s="467" t="n"/>
      <c r="S43" s="467" t="n"/>
      <c r="T43" s="467" t="n"/>
      <c r="U43" s="467" t="n"/>
      <c r="V43" s="467" t="n"/>
      <c r="W43" s="467" t="n"/>
      <c r="X43" s="467" t="n"/>
      <c r="Y43" s="467" t="n"/>
      <c r="Z43" s="467" t="n"/>
      <c r="AA43" s="467" t="n"/>
      <c r="AB43" s="467" t="n"/>
      <c r="AC43" s="467" t="n"/>
      <c r="AD43" s="467" t="n"/>
      <c r="AE43" s="467" t="n"/>
      <c r="AF43" s="467" t="n"/>
      <c r="AG43" s="467" t="n"/>
      <c r="AH43" s="467" t="n"/>
      <c r="AI43" s="467" t="n"/>
    </row>
    <row r="44">
      <c r="A44" s="467" t="n"/>
      <c r="B44" s="469" t="inlineStr">
        <is>
          <t>Permitir conferência sem abrir</t>
        </is>
      </c>
      <c r="C44" s="473" t="inlineStr">
        <is>
          <t>C</t>
        </is>
      </c>
      <c r="D44" s="473" t="n">
        <v>1</v>
      </c>
      <c r="E44" s="473" t="n">
        <v>4</v>
      </c>
      <c r="F44" s="473" t="n">
        <v>4</v>
      </c>
      <c r="G44" s="472" t="n">
        <v>9</v>
      </c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  <c r="AA44" s="467" t="n"/>
      <c r="AB44" s="467" t="n"/>
      <c r="AC44" s="467" t="n"/>
      <c r="AD44" s="467" t="n"/>
      <c r="AE44" s="467" t="n"/>
      <c r="AF44" s="467" t="n"/>
      <c r="AG44" s="467" t="n"/>
      <c r="AH44" s="467" t="n"/>
      <c r="AI44" s="467" t="n"/>
    </row>
    <row r="45">
      <c r="A45" s="467" t="n"/>
      <c r="B45" s="469" t="inlineStr">
        <is>
          <t>Ser ajustável a diferentes louças</t>
        </is>
      </c>
      <c r="C45" s="473" t="inlineStr">
        <is>
          <t>D</t>
        </is>
      </c>
      <c r="D45" s="473" t="n">
        <v>3</v>
      </c>
      <c r="E45" s="473" t="n">
        <v>1</v>
      </c>
      <c r="F45" s="473" t="n">
        <v>4</v>
      </c>
      <c r="G45" s="472" t="n">
        <v>8</v>
      </c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  <c r="AA45" s="467" t="n"/>
      <c r="AB45" s="467" t="n"/>
      <c r="AC45" s="467" t="n"/>
      <c r="AD45" s="467" t="n"/>
      <c r="AE45" s="467" t="n"/>
      <c r="AF45" s="467" t="n"/>
      <c r="AG45" s="467" t="n"/>
      <c r="AH45" s="467" t="n"/>
      <c r="AI45" s="467" t="n"/>
    </row>
    <row r="46">
      <c r="A46" s="467" t="n"/>
      <c r="B46" s="469" t="inlineStr">
        <is>
          <t>Ser compatível com o veículo</t>
        </is>
      </c>
      <c r="C46" s="473" t="inlineStr">
        <is>
          <t>E</t>
        </is>
      </c>
      <c r="D46" s="473" t="n">
        <v>3</v>
      </c>
      <c r="E46" s="473" t="n">
        <v>1</v>
      </c>
      <c r="F46" s="473" t="n">
        <v>3</v>
      </c>
      <c r="G46" s="472" t="n">
        <v>7</v>
      </c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  <c r="AA46" s="467" t="n"/>
      <c r="AB46" s="467" t="n"/>
      <c r="AC46" s="467" t="n"/>
      <c r="AD46" s="467" t="n"/>
      <c r="AE46" s="467" t="n"/>
      <c r="AF46" s="467" t="n"/>
      <c r="AG46" s="467" t="n"/>
      <c r="AH46" s="467" t="n"/>
      <c r="AI46" s="467" t="n"/>
    </row>
    <row r="47">
      <c r="A47" s="467" t="n"/>
      <c r="B47" s="469" t="inlineStr">
        <is>
          <t>Ser de fácil movimentação</t>
        </is>
      </c>
      <c r="C47" s="473" t="inlineStr">
        <is>
          <t>F</t>
        </is>
      </c>
      <c r="D47" s="473" t="n">
        <v>3</v>
      </c>
      <c r="E47" s="473" t="n">
        <v>5</v>
      </c>
      <c r="F47" s="473" t="n">
        <v>3</v>
      </c>
      <c r="G47" s="472" t="n">
        <v>11</v>
      </c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  <c r="AA47" s="467" t="n"/>
      <c r="AB47" s="467" t="n"/>
      <c r="AC47" s="467" t="n"/>
      <c r="AD47" s="467" t="n"/>
      <c r="AE47" s="467" t="n"/>
      <c r="AF47" s="467" t="n"/>
      <c r="AG47" s="467" t="n"/>
      <c r="AH47" s="467" t="n"/>
      <c r="AI47" s="467" t="n"/>
    </row>
    <row r="48">
      <c r="A48" s="467" t="n"/>
      <c r="B48" s="469" t="inlineStr">
        <is>
          <t>Ter pontos de pega definidos</t>
        </is>
      </c>
      <c r="C48" s="473" t="inlineStr">
        <is>
          <t>G</t>
        </is>
      </c>
      <c r="D48" s="473" t="n">
        <v>2</v>
      </c>
      <c r="E48" s="473" t="n">
        <v>4</v>
      </c>
      <c r="F48" s="473" t="n">
        <v>2</v>
      </c>
      <c r="G48" s="472" t="n">
        <v>8</v>
      </c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  <c r="AA48" s="467" t="n"/>
      <c r="AB48" s="467" t="n"/>
      <c r="AC48" s="467" t="n"/>
      <c r="AD48" s="467" t="n"/>
      <c r="AE48" s="467" t="n"/>
      <c r="AF48" s="467" t="n"/>
      <c r="AG48" s="467" t="n"/>
      <c r="AH48" s="467" t="n"/>
      <c r="AI48" s="467" t="n"/>
    </row>
    <row r="49">
      <c r="A49" s="467" t="n"/>
      <c r="B49" s="469" t="inlineStr">
        <is>
          <t>Ter retirada segura da louça</t>
        </is>
      </c>
      <c r="C49" s="473" t="inlineStr">
        <is>
          <t>H</t>
        </is>
      </c>
      <c r="D49" s="473" t="n">
        <v>1</v>
      </c>
      <c r="E49" s="473" t="n">
        <v>5</v>
      </c>
      <c r="F49" s="473" t="n">
        <v>2</v>
      </c>
      <c r="G49" s="472" t="n">
        <v>8</v>
      </c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  <c r="AA49" s="467" t="n"/>
      <c r="AB49" s="467" t="n"/>
      <c r="AC49" s="467" t="n"/>
      <c r="AD49" s="467" t="n"/>
      <c r="AE49" s="467" t="n"/>
      <c r="AF49" s="467" t="n"/>
      <c r="AG49" s="467" t="n"/>
      <c r="AH49" s="467" t="n"/>
      <c r="AI49" s="467" t="n"/>
    </row>
    <row r="50">
      <c r="A50" s="467" t="n"/>
      <c r="B50" s="469" t="inlineStr">
        <is>
          <t>Ser de uso intuitivo</t>
        </is>
      </c>
      <c r="C50" s="473" t="inlineStr">
        <is>
          <t>I</t>
        </is>
      </c>
      <c r="D50" s="473" t="n">
        <v>1</v>
      </c>
      <c r="E50" s="473" t="n">
        <v>2</v>
      </c>
      <c r="F50" s="473" t="n">
        <v>4</v>
      </c>
      <c r="G50" s="472" t="n">
        <v>7</v>
      </c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  <c r="AA50" s="467" t="n"/>
      <c r="AB50" s="467" t="n"/>
      <c r="AC50" s="467" t="n"/>
      <c r="AD50" s="467" t="n"/>
      <c r="AE50" s="467" t="n"/>
      <c r="AF50" s="467" t="n"/>
      <c r="AG50" s="467" t="n"/>
      <c r="AH50" s="467" t="n"/>
      <c r="AI50" s="467" t="n"/>
    </row>
    <row r="51">
      <c r="A51" s="467" t="n"/>
      <c r="B51" s="469" t="inlineStr">
        <is>
          <t>Ser compacto</t>
        </is>
      </c>
      <c r="C51" s="473" t="inlineStr">
        <is>
          <t>J</t>
        </is>
      </c>
      <c r="D51" s="473" t="n">
        <v>1</v>
      </c>
      <c r="E51" s="473" t="n">
        <v>1</v>
      </c>
      <c r="F51" s="473" t="n">
        <v>4</v>
      </c>
      <c r="G51" s="472" t="n">
        <v>6</v>
      </c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  <c r="AA51" s="467" t="n"/>
      <c r="AB51" s="467" t="n"/>
      <c r="AC51" s="467" t="n"/>
      <c r="AD51" s="467" t="n"/>
      <c r="AE51" s="467" t="n"/>
      <c r="AF51" s="467" t="n"/>
      <c r="AG51" s="467" t="n"/>
      <c r="AH51" s="467" t="n"/>
      <c r="AI51" s="467" t="n"/>
    </row>
    <row r="52">
      <c r="A52" s="467" t="n"/>
      <c r="B52" s="469" t="inlineStr">
        <is>
          <t>Ser empilhável e estável</t>
        </is>
      </c>
      <c r="C52" s="473" t="inlineStr">
        <is>
          <t>K</t>
        </is>
      </c>
      <c r="D52" s="473" t="n">
        <v>3</v>
      </c>
      <c r="E52" s="473" t="n">
        <v>2</v>
      </c>
      <c r="F52" s="473" t="n">
        <v>2</v>
      </c>
      <c r="G52" s="472" t="n">
        <v>7</v>
      </c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  <c r="AA52" s="467" t="n"/>
      <c r="AB52" s="467" t="n"/>
      <c r="AC52" s="467" t="n"/>
      <c r="AD52" s="467" t="n"/>
      <c r="AE52" s="467" t="n"/>
      <c r="AF52" s="467" t="n"/>
      <c r="AG52" s="467" t="n"/>
      <c r="AH52" s="467" t="n"/>
      <c r="AI52" s="467" t="n"/>
    </row>
    <row r="53">
      <c r="A53" s="467" t="n"/>
      <c r="B53" s="469" t="inlineStr">
        <is>
          <t>Ter desempenho uniforme</t>
        </is>
      </c>
      <c r="C53" s="473" t="inlineStr">
        <is>
          <t>L</t>
        </is>
      </c>
      <c r="D53" s="473" t="n">
        <v>2</v>
      </c>
      <c r="E53" s="473" t="n">
        <v>1</v>
      </c>
      <c r="F53" s="473" t="n">
        <v>3</v>
      </c>
      <c r="G53" s="472" t="n">
        <v>6</v>
      </c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  <c r="AA53" s="467" t="n"/>
      <c r="AB53" s="467" t="n"/>
      <c r="AC53" s="467" t="n"/>
      <c r="AD53" s="467" t="n"/>
      <c r="AE53" s="467" t="n"/>
      <c r="AF53" s="467" t="n"/>
      <c r="AG53" s="467" t="n"/>
      <c r="AH53" s="467" t="n"/>
      <c r="AI53" s="467" t="n"/>
    </row>
    <row r="54">
      <c r="A54" s="467" t="n"/>
      <c r="B54" s="469" t="inlineStr">
        <is>
          <t>Ter indicação visual de uso</t>
        </is>
      </c>
      <c r="C54" s="473" t="inlineStr">
        <is>
          <t>M</t>
        </is>
      </c>
      <c r="D54" s="473" t="n">
        <v>1</v>
      </c>
      <c r="E54" s="473" t="n">
        <v>2</v>
      </c>
      <c r="F54" s="473" t="n">
        <v>2</v>
      </c>
      <c r="G54" s="472" t="n">
        <v>5</v>
      </c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  <c r="AA54" s="467" t="n"/>
      <c r="AB54" s="467" t="n"/>
      <c r="AC54" s="467" t="n"/>
      <c r="AD54" s="467" t="n"/>
      <c r="AE54" s="467" t="n"/>
      <c r="AF54" s="467" t="n"/>
      <c r="AG54" s="467" t="n"/>
      <c r="AH54" s="467" t="n"/>
      <c r="AI54" s="467" t="n"/>
    </row>
    <row r="55">
      <c r="A55" s="467" t="n"/>
      <c r="B55" s="469" t="inlineStr">
        <is>
          <t>Ter identificação visível</t>
        </is>
      </c>
      <c r="C55" s="473" t="inlineStr">
        <is>
          <t>N</t>
        </is>
      </c>
      <c r="D55" s="473" t="n">
        <v>0</v>
      </c>
      <c r="E55" s="473" t="n">
        <v>1</v>
      </c>
      <c r="F55" s="473" t="n">
        <v>2</v>
      </c>
      <c r="G55" s="472" t="n">
        <v>3</v>
      </c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>
      <c r="A56" s="467" t="n"/>
      <c r="B56" s="469" t="inlineStr">
        <is>
          <t>Ser durável</t>
        </is>
      </c>
      <c r="C56" s="473" t="inlineStr">
        <is>
          <t>O</t>
        </is>
      </c>
      <c r="D56" s="473" t="n">
        <v>1</v>
      </c>
      <c r="E56" s="473" t="n">
        <v>0</v>
      </c>
      <c r="F56" s="473" t="n">
        <v>5</v>
      </c>
      <c r="G56" s="472" t="n">
        <v>6</v>
      </c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  <c r="AA56" s="467" t="n"/>
      <c r="AB56" s="467" t="n"/>
      <c r="AC56" s="467" t="n"/>
      <c r="AD56" s="467" t="n"/>
      <c r="AE56" s="467" t="n"/>
      <c r="AF56" s="467" t="n"/>
      <c r="AG56" s="467" t="n"/>
      <c r="AH56" s="467" t="n"/>
      <c r="AI56" s="467" t="n"/>
    </row>
    <row r="57">
      <c r="A57" s="467" t="n"/>
      <c r="B57" s="469" t="inlineStr">
        <is>
          <t>Ser resistente a intempéries</t>
        </is>
      </c>
      <c r="C57" s="473" t="inlineStr">
        <is>
          <t>P</t>
        </is>
      </c>
      <c r="D57" s="473" t="n">
        <v>2</v>
      </c>
      <c r="E57" s="473" t="n">
        <v>0</v>
      </c>
      <c r="F57" s="473" t="n">
        <v>3</v>
      </c>
      <c r="G57" s="472" t="n">
        <v>5</v>
      </c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  <c r="AA57" s="467" t="n"/>
      <c r="AB57" s="467" t="n"/>
      <c r="AC57" s="467" t="n"/>
      <c r="AD57" s="467" t="n"/>
      <c r="AE57" s="467" t="n"/>
      <c r="AF57" s="467" t="n"/>
      <c r="AG57" s="467" t="n"/>
      <c r="AH57" s="467" t="n"/>
      <c r="AI57" s="467" t="n"/>
    </row>
    <row r="58">
      <c r="A58" s="467" t="n"/>
      <c r="B58" s="469" t="inlineStr">
        <is>
          <t>Ter manutenção simples</t>
        </is>
      </c>
      <c r="C58" s="473" t="inlineStr">
        <is>
          <t>Q</t>
        </is>
      </c>
      <c r="D58" s="473" t="n">
        <v>0</v>
      </c>
      <c r="E58" s="473" t="n">
        <v>1</v>
      </c>
      <c r="F58" s="473" t="n">
        <v>3</v>
      </c>
      <c r="G58" s="472" t="n">
        <v>4</v>
      </c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  <c r="AA58" s="467" t="n"/>
      <c r="AB58" s="467" t="n"/>
      <c r="AC58" s="467" t="n"/>
      <c r="AD58" s="467" t="n"/>
      <c r="AE58" s="467" t="n"/>
      <c r="AF58" s="467" t="n"/>
      <c r="AG58" s="467" t="n"/>
      <c r="AH58" s="467" t="n"/>
      <c r="AI58" s="467" t="n"/>
    </row>
    <row r="59">
      <c r="A59" s="467" t="n"/>
      <c r="B59" s="469" t="inlineStr">
        <is>
          <t>Ser de fácil desmontagem</t>
        </is>
      </c>
      <c r="C59" s="473" t="inlineStr">
        <is>
          <t>R</t>
        </is>
      </c>
      <c r="D59" s="473" t="n">
        <v>0</v>
      </c>
      <c r="E59" s="473" t="n">
        <v>1</v>
      </c>
      <c r="F59" s="473" t="n">
        <v>1</v>
      </c>
      <c r="G59" s="472" t="n">
        <v>2</v>
      </c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  <c r="AA59" s="467" t="n"/>
      <c r="AB59" s="467" t="n"/>
      <c r="AC59" s="467" t="n"/>
      <c r="AD59" s="467" t="n"/>
      <c r="AE59" s="467" t="n"/>
      <c r="AF59" s="467" t="n"/>
      <c r="AG59" s="467" t="n"/>
      <c r="AH59" s="467" t="n"/>
      <c r="AI59" s="467" t="n"/>
    </row>
    <row r="60">
      <c r="A60" s="467" t="n"/>
      <c r="B60" s="469" t="inlineStr">
        <is>
          <t>Ter materiais recicláveis</t>
        </is>
      </c>
      <c r="C60" s="473" t="inlineStr">
        <is>
          <t>S</t>
        </is>
      </c>
      <c r="D60" s="473" t="n">
        <v>0</v>
      </c>
      <c r="E60" s="473" t="n">
        <v>0</v>
      </c>
      <c r="F60" s="473" t="n">
        <v>2</v>
      </c>
      <c r="G60" s="472" t="n">
        <v>2</v>
      </c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  <c r="AA60" s="467" t="n"/>
      <c r="AB60" s="467" t="n"/>
      <c r="AC60" s="467" t="n"/>
      <c r="AD60" s="467" t="n"/>
      <c r="AE60" s="467" t="n"/>
      <c r="AF60" s="467" t="n"/>
      <c r="AG60" s="467" t="n"/>
      <c r="AH60" s="467" t="n"/>
      <c r="AI60" s="467" t="n"/>
    </row>
    <row r="61">
      <c r="A61" s="467" t="n"/>
      <c r="B61" s="469" t="inlineStr">
        <is>
          <t>Ter peças modulares</t>
        </is>
      </c>
      <c r="C61" s="473" t="inlineStr">
        <is>
          <t>T</t>
        </is>
      </c>
      <c r="D61" s="473" t="n">
        <v>1</v>
      </c>
      <c r="E61" s="473" t="n">
        <v>0</v>
      </c>
      <c r="F61" s="473" t="n">
        <v>3</v>
      </c>
      <c r="G61" s="472" t="n">
        <v>4</v>
      </c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  <c r="AA61" s="467" t="n"/>
      <c r="AB61" s="467" t="n"/>
      <c r="AC61" s="467" t="n"/>
      <c r="AD61" s="467" t="n"/>
      <c r="AE61" s="467" t="n"/>
      <c r="AF61" s="467" t="n"/>
      <c r="AG61" s="467" t="n"/>
      <c r="AH61" s="467" t="n"/>
      <c r="AI61" s="467" t="n"/>
    </row>
    <row r="62">
      <c r="A62" s="467" t="n"/>
      <c r="B62" s="469" t="inlineStr">
        <is>
          <t>Ter montagem em poucas etapas</t>
        </is>
      </c>
      <c r="C62" s="473" t="inlineStr">
        <is>
          <t>U</t>
        </is>
      </c>
      <c r="D62" s="473" t="n">
        <v>0</v>
      </c>
      <c r="E62" s="473" t="n">
        <v>1</v>
      </c>
      <c r="F62" s="473" t="n">
        <v>3</v>
      </c>
      <c r="G62" s="472" t="n">
        <v>4</v>
      </c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  <c r="AA62" s="467" t="n"/>
      <c r="AB62" s="467" t="n"/>
      <c r="AC62" s="467" t="n"/>
      <c r="AD62" s="467" t="n"/>
      <c r="AE62" s="467" t="n"/>
      <c r="AF62" s="467" t="n"/>
      <c r="AG62" s="467" t="n"/>
      <c r="AH62" s="467" t="n"/>
      <c r="AI62" s="467" t="n"/>
    </row>
    <row r="63">
      <c r="A63" s="467" t="n"/>
      <c r="B63" s="469" t="inlineStr">
        <is>
          <t>Ter bom custo-benefício</t>
        </is>
      </c>
      <c r="C63" s="473" t="inlineStr">
        <is>
          <t>V</t>
        </is>
      </c>
      <c r="D63" s="473" t="n">
        <v>2</v>
      </c>
      <c r="E63" s="473" t="n">
        <v>0</v>
      </c>
      <c r="F63" s="473" t="n">
        <v>5</v>
      </c>
      <c r="G63" s="472" t="n">
        <v>7</v>
      </c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  <c r="AA63" s="467" t="n"/>
      <c r="AB63" s="467" t="n"/>
      <c r="AC63" s="467" t="n"/>
      <c r="AD63" s="467" t="n"/>
      <c r="AE63" s="467" t="n"/>
      <c r="AF63" s="467" t="n"/>
      <c r="AG63" s="467" t="n"/>
      <c r="AH63" s="467" t="n"/>
      <c r="AI63" s="467" t="n"/>
    </row>
    <row r="64">
      <c r="A64" s="467" t="n"/>
      <c r="B64" s="467" t="n"/>
      <c r="C64" s="467" t="n"/>
      <c r="D64" s="467" t="n"/>
      <c r="E64" s="467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  <c r="AA64" s="467" t="n"/>
      <c r="AB64" s="467" t="n"/>
      <c r="AC64" s="467" t="n"/>
      <c r="AD64" s="467" t="n"/>
      <c r="AE64" s="467" t="n"/>
      <c r="AF64" s="467" t="n"/>
      <c r="AG64" s="467" t="n"/>
      <c r="AH64" s="467" t="n"/>
      <c r="AI64" s="467" t="n"/>
    </row>
    <row r="65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  <c r="AA65" s="467" t="n"/>
      <c r="AB65" s="467" t="n"/>
      <c r="AC65" s="467" t="n"/>
      <c r="AD65" s="467" t="n"/>
      <c r="AE65" s="467" t="n"/>
      <c r="AF65" s="467" t="n"/>
      <c r="AG65" s="467" t="n"/>
      <c r="AH65" s="467" t="n"/>
      <c r="AI65" s="467" t="n"/>
    </row>
    <row r="6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  <c r="AA66" s="467" t="n"/>
      <c r="AB66" s="467" t="n"/>
      <c r="AC66" s="467" t="n"/>
      <c r="AD66" s="467" t="n"/>
      <c r="AE66" s="467" t="n"/>
      <c r="AF66" s="467" t="n"/>
      <c r="AG66" s="467" t="n"/>
      <c r="AH66" s="467" t="n"/>
      <c r="AI66" s="467" t="n"/>
    </row>
    <row r="67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  <c r="AA67" s="467" t="n"/>
      <c r="AB67" s="467" t="n"/>
      <c r="AC67" s="467" t="n"/>
      <c r="AD67" s="467" t="n"/>
      <c r="AE67" s="467" t="n"/>
      <c r="AF67" s="467" t="n"/>
      <c r="AG67" s="467" t="n"/>
      <c r="AH67" s="467" t="n"/>
      <c r="AI67" s="467" t="n"/>
    </row>
    <row r="68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  <c r="AA68" s="467" t="n"/>
      <c r="AB68" s="467" t="n"/>
      <c r="AC68" s="467" t="n"/>
      <c r="AD68" s="467" t="n"/>
      <c r="AE68" s="467" t="n"/>
      <c r="AF68" s="467" t="n"/>
      <c r="AG68" s="467" t="n"/>
      <c r="AH68" s="467" t="n"/>
      <c r="AI68" s="467" t="n"/>
    </row>
    <row r="69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  <c r="AA69" s="467" t="n"/>
      <c r="AB69" s="467" t="n"/>
      <c r="AC69" s="467" t="n"/>
      <c r="AD69" s="467" t="n"/>
      <c r="AE69" s="467" t="n"/>
      <c r="AF69" s="467" t="n"/>
      <c r="AG69" s="467" t="n"/>
      <c r="AH69" s="467" t="n"/>
      <c r="AI69" s="467" t="n"/>
    </row>
  </sheetData>
  <mergeCells count="3">
    <mergeCell ref="C38:F38"/>
    <mergeCell ref="C37:F37"/>
    <mergeCell ref="C39:F39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  <c r="G1" t="inlineStr">
        <is>
          <t>Classe de Pareto</t>
        </is>
      </c>
    </row>
    <row r="2">
      <c r="A2" s="108" t="inlineStr">
        <is>
          <t>Imobilizar a louça</t>
        </is>
      </c>
      <c r="B2" s="32" t="inlineStr">
        <is>
          <t>B</t>
        </is>
      </c>
      <c r="C2" s="43" t="n">
        <v>73</v>
      </c>
      <c r="D2" s="152">
        <f>C2/$C$24</f>
        <v/>
      </c>
      <c r="E2" s="109">
        <f>D2</f>
        <v/>
      </c>
      <c r="F2" s="43">
        <f>IF(C2=0,0,MAX(1,ROUND(C2/MAX($C$2:$C$23)*5,0)))</f>
        <v/>
      </c>
      <c r="G2">
        <f>"A · vital"</f>
        <v/>
      </c>
    </row>
    <row r="3">
      <c r="A3" s="108" t="inlineStr">
        <is>
          <t>Ser de fácil movimentação</t>
        </is>
      </c>
      <c r="B3" s="32" t="inlineStr">
        <is>
          <t>F</t>
        </is>
      </c>
      <c r="C3" s="43" t="n">
        <v>72</v>
      </c>
      <c r="D3" s="152">
        <f>C3/$C$24</f>
        <v/>
      </c>
      <c r="E3" s="109">
        <f>D3+E2</f>
        <v/>
      </c>
      <c r="F3" s="43">
        <f>IF(C3=0,0,MAX(1,ROUND(C3/MAX($C$2:$C$23)*5,0)))</f>
        <v/>
      </c>
      <c r="G3">
        <f>IF(E2&lt;0.8,"A · vital","B · trivial")</f>
        <v/>
      </c>
    </row>
    <row r="4">
      <c r="A4" s="108" t="inlineStr">
        <is>
          <t>Amortecer impactos e vibrações</t>
        </is>
      </c>
      <c r="B4" s="32" t="inlineStr">
        <is>
          <t>A</t>
        </is>
      </c>
      <c r="C4" s="43" t="n">
        <v>61</v>
      </c>
      <c r="D4" s="152">
        <f>C4/$C$24</f>
        <v/>
      </c>
      <c r="E4" s="109">
        <f>D4+E3</f>
        <v/>
      </c>
      <c r="F4" s="43">
        <f>IF(C4=0,0,MAX(1,ROUND(C4/MAX($C$2:$C$23)*5,0)))</f>
        <v/>
      </c>
      <c r="G4">
        <f>IF(E3&lt;0.8,"A · vital","B · trivial")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46</v>
      </c>
      <c r="D5" s="152">
        <f>C5/$C$24</f>
        <v/>
      </c>
      <c r="E5" s="109">
        <f>D5+E4</f>
        <v/>
      </c>
      <c r="F5" s="43">
        <f>IF(C5=0,0,MAX(1,ROUND(C5/MAX($C$2:$C$23)*5,0)))</f>
        <v/>
      </c>
      <c r="G5">
        <f>IF(E4&lt;0.8,"A · vital","B · trivial")</f>
        <v/>
      </c>
    </row>
    <row r="6">
      <c r="A6" s="108" t="inlineStr">
        <is>
          <t>Ser ajustável a diferentes louças</t>
        </is>
      </c>
      <c r="B6" s="32" t="inlineStr">
        <is>
          <t>D</t>
        </is>
      </c>
      <c r="C6" s="43" t="n">
        <v>37</v>
      </c>
      <c r="D6" s="152">
        <f>C6/$C$24</f>
        <v/>
      </c>
      <c r="E6" s="109">
        <f>D6+E5</f>
        <v/>
      </c>
      <c r="F6" s="43">
        <f>IF(C6=0,0,MAX(1,ROUND(C6/MAX($C$2:$C$23)*5,0)))</f>
        <v/>
      </c>
      <c r="G6">
        <f>IF(E5&lt;0.8,"A · vital","B · trivial")</f>
        <v/>
      </c>
    </row>
    <row r="7">
      <c r="A7" s="108" t="inlineStr">
        <is>
          <t>Ter pontos de pega definidos</t>
        </is>
      </c>
      <c r="B7" s="32" t="inlineStr">
        <is>
          <t>G</t>
        </is>
      </c>
      <c r="C7" s="43" t="n">
        <v>36</v>
      </c>
      <c r="D7" s="152">
        <f>C7/$C$24</f>
        <v/>
      </c>
      <c r="E7" s="109">
        <f>D7+E6</f>
        <v/>
      </c>
      <c r="F7" s="43">
        <f>IF(C7=0,0,MAX(1,ROUND(C7/MAX($C$2:$C$23)*5,0)))</f>
        <v/>
      </c>
      <c r="G7">
        <f>IF(E6&lt;0.8,"A · vital","B · trivial")</f>
        <v/>
      </c>
    </row>
    <row r="8">
      <c r="A8" s="108" t="inlineStr">
        <is>
          <t>Ter retirada segura da louça</t>
        </is>
      </c>
      <c r="B8" s="32" t="inlineStr">
        <is>
          <t>H</t>
        </is>
      </c>
      <c r="C8" s="43" t="n">
        <v>35</v>
      </c>
      <c r="D8" s="152">
        <f>C8/$C$24</f>
        <v/>
      </c>
      <c r="E8" s="109">
        <f>D8+E7</f>
        <v/>
      </c>
      <c r="F8" s="43">
        <f>IF(C8=0,0,MAX(1,ROUND(C8/MAX($C$2:$C$23)*5,0)))</f>
        <v/>
      </c>
      <c r="G8">
        <f>IF(E7&lt;0.8,"A · vital","B · trivial")</f>
        <v/>
      </c>
    </row>
    <row r="9">
      <c r="A9" s="108" t="inlineStr">
        <is>
          <t>Ser compatível com o veículo</t>
        </is>
      </c>
      <c r="B9" s="32" t="inlineStr">
        <is>
          <t>E</t>
        </is>
      </c>
      <c r="C9" s="43" t="n">
        <v>25</v>
      </c>
      <c r="D9" s="152">
        <f>C9/$C$24</f>
        <v/>
      </c>
      <c r="E9" s="109">
        <f>D9+E8</f>
        <v/>
      </c>
      <c r="F9" s="43">
        <f>IF(C9=0,0,MAX(1,ROUND(C9/MAX($C$2:$C$23)*5,0)))</f>
        <v/>
      </c>
      <c r="G9">
        <f>IF(E8&lt;0.8,"A · vital","B · trivial")</f>
        <v/>
      </c>
    </row>
    <row r="10">
      <c r="A10" s="108" t="inlineStr">
        <is>
          <t>Ser empilhável e estável</t>
        </is>
      </c>
      <c r="B10" s="32" t="inlineStr">
        <is>
          <t>K</t>
        </is>
      </c>
      <c r="C10" s="43" t="n">
        <v>25</v>
      </c>
      <c r="D10" s="152">
        <f>C10/$C$24</f>
        <v/>
      </c>
      <c r="E10" s="109">
        <f>D10+E9</f>
        <v/>
      </c>
      <c r="F10" s="43">
        <f>IF(C10=0,0,MAX(1,ROUND(C10/MAX($C$2:$C$23)*5,0)))</f>
        <v/>
      </c>
      <c r="G10">
        <f>IF(E9&lt;0.8,"A · vital","B · trivial")</f>
        <v/>
      </c>
    </row>
    <row r="11">
      <c r="A11" s="108" t="inlineStr">
        <is>
          <t>Ter bom custo-benefício</t>
        </is>
      </c>
      <c r="B11" s="32" t="inlineStr">
        <is>
          <t>V</t>
        </is>
      </c>
      <c r="C11" s="43" t="n">
        <v>24</v>
      </c>
      <c r="D11" s="152">
        <f>C11/$C$24</f>
        <v/>
      </c>
      <c r="E11" s="109">
        <f>D11+E10</f>
        <v/>
      </c>
      <c r="F11" s="43">
        <f>IF(C11=0,0,MAX(1,ROUND(C11/MAX($C$2:$C$23)*5,0)))</f>
        <v/>
      </c>
      <c r="G11">
        <f>IF(E10&lt;0.8,"A · vital","B · trivial")</f>
        <v/>
      </c>
    </row>
    <row r="12">
      <c r="A12" s="108" t="inlineStr">
        <is>
          <t>Ser de uso intuitivo</t>
        </is>
      </c>
      <c r="B12" s="32" t="inlineStr">
        <is>
          <t>I</t>
        </is>
      </c>
      <c r="C12" s="43" t="n">
        <v>23</v>
      </c>
      <c r="D12" s="152">
        <f>C12/$C$24</f>
        <v/>
      </c>
      <c r="E12" s="109">
        <f>D12+E11</f>
        <v/>
      </c>
      <c r="F12" s="43">
        <f>IF(C12=0,0,MAX(1,ROUND(C12/MAX($C$2:$C$23)*5,0)))</f>
        <v/>
      </c>
      <c r="G12">
        <f>IF(E11&lt;0.8,"A · vital","B · trivial")</f>
        <v/>
      </c>
    </row>
    <row r="13">
      <c r="A13" s="108" t="inlineStr">
        <is>
          <t>Ter desempenho uniforme</t>
        </is>
      </c>
      <c r="B13" s="32" t="inlineStr">
        <is>
          <t>L</t>
        </is>
      </c>
      <c r="C13" s="43" t="n">
        <v>16</v>
      </c>
      <c r="D13" s="152">
        <f>C13/$C$24</f>
        <v/>
      </c>
      <c r="E13" s="109">
        <f>D13+E12</f>
        <v/>
      </c>
      <c r="F13" s="229">
        <f>IF(C13=0,0,MAX(1,ROUND(C13/MAX($C$2:$C$23)*5,0)))</f>
        <v/>
      </c>
      <c r="G13">
        <f>IF(E12&lt;0.8,"A · vital","B · trivial")</f>
        <v/>
      </c>
    </row>
    <row r="14">
      <c r="A14" s="108" t="inlineStr">
        <is>
          <t>Ser compacto</t>
        </is>
      </c>
      <c r="B14" s="32" t="inlineStr">
        <is>
          <t>J</t>
        </is>
      </c>
      <c r="C14" s="43" t="n">
        <v>14</v>
      </c>
      <c r="D14" s="152">
        <f>C14/$C$24</f>
        <v/>
      </c>
      <c r="E14" s="109">
        <f>D14+E13</f>
        <v/>
      </c>
      <c r="F14" s="43">
        <f>IF(C14=0,0,MAX(1,ROUND(C14/MAX($C$2:$C$23)*5,0)))</f>
        <v/>
      </c>
      <c r="G14">
        <f>IF(E13&lt;0.8,"A · vital","B · trivial")</f>
        <v/>
      </c>
    </row>
    <row r="15">
      <c r="A15" s="108" t="inlineStr">
        <is>
          <t>Ser durável</t>
        </is>
      </c>
      <c r="B15" s="32" t="inlineStr">
        <is>
          <t>O</t>
        </is>
      </c>
      <c r="C15" s="43" t="n">
        <v>14</v>
      </c>
      <c r="D15" s="152">
        <f>C15/$C$24</f>
        <v/>
      </c>
      <c r="E15" s="109">
        <f>D15+E14</f>
        <v/>
      </c>
      <c r="F15" s="229">
        <f>IF(C15=0,0,MAX(1,ROUND(C15/MAX($C$2:$C$23)*5,0)))</f>
        <v/>
      </c>
      <c r="G15">
        <f>IF(E14&lt;0.8,"A · vital","B · trivial")</f>
        <v/>
      </c>
    </row>
    <row r="16">
      <c r="A16" s="108" t="inlineStr">
        <is>
          <t>Ser resistente a intempéries</t>
        </is>
      </c>
      <c r="B16" s="32" t="inlineStr">
        <is>
          <t>P</t>
        </is>
      </c>
      <c r="C16" s="43" t="n">
        <v>11</v>
      </c>
      <c r="D16" s="152">
        <f>C16/$C$24</f>
        <v/>
      </c>
      <c r="E16" s="109">
        <f>D16+E15</f>
        <v/>
      </c>
      <c r="F16" s="43">
        <f>IF(C16=0,0,MAX(1,ROUND(C16/MAX($C$2:$C$23)*5,0)))</f>
        <v/>
      </c>
      <c r="G16">
        <f>IF(E15&lt;0.8,"A · vital","B · trivial")</f>
        <v/>
      </c>
    </row>
    <row r="17">
      <c r="A17" s="108" t="inlineStr">
        <is>
          <t>Ter indicação visual de uso</t>
        </is>
      </c>
      <c r="B17" s="32" t="inlineStr">
        <is>
          <t>M</t>
        </is>
      </c>
      <c r="C17" s="43" t="n">
        <v>10</v>
      </c>
      <c r="D17" s="152">
        <f>C17/$C$24</f>
        <v/>
      </c>
      <c r="E17" s="109">
        <f>D17+E16</f>
        <v/>
      </c>
      <c r="F17" s="43">
        <f>IF(C17=0,0,MAX(1,ROUND(C17/MAX($C$2:$C$23)*5,0)))</f>
        <v/>
      </c>
      <c r="G17">
        <f>IF(E16&lt;0.8,"A · vital","B · trivial")</f>
        <v/>
      </c>
    </row>
    <row r="18">
      <c r="A18" s="108" t="inlineStr">
        <is>
          <t>Ter peças modulares</t>
        </is>
      </c>
      <c r="B18" s="32" t="inlineStr">
        <is>
          <t>T</t>
        </is>
      </c>
      <c r="C18" s="43" t="n">
        <v>5</v>
      </c>
      <c r="D18" s="152">
        <f>C18/$C$24</f>
        <v/>
      </c>
      <c r="E18" s="109">
        <f>D18+E17</f>
        <v/>
      </c>
      <c r="F18" s="229">
        <f>IF(C18=0,0,MAX(1,ROUND(C18/MAX($C$2:$C$23)*5,0)))</f>
        <v/>
      </c>
      <c r="G18">
        <f>IF(E17&lt;0.8,"A · vital","B · trivial")</f>
        <v/>
      </c>
    </row>
    <row r="19">
      <c r="A19" s="108" t="inlineStr">
        <is>
          <t>Ter manutenção simples</t>
        </is>
      </c>
      <c r="B19" s="32" t="inlineStr">
        <is>
          <t>Q</t>
        </is>
      </c>
      <c r="C19" s="43" t="n">
        <v>3</v>
      </c>
      <c r="D19" s="152">
        <f>C19/$C$24</f>
        <v/>
      </c>
      <c r="E19" s="109">
        <f>D19+E18</f>
        <v/>
      </c>
      <c r="F19" s="229">
        <f>IF(C19=0,0,MAX(1,ROUND(C19/MAX($C$2:$C$23)*5,0)))</f>
        <v/>
      </c>
      <c r="G19">
        <f>IF(E18&lt;0.8,"A · vital","B · trivial")</f>
        <v/>
      </c>
    </row>
    <row r="20">
      <c r="A20" s="108" t="inlineStr">
        <is>
          <t>Ter montagem em poucas etapas</t>
        </is>
      </c>
      <c r="B20" s="32" t="inlineStr">
        <is>
          <t>U</t>
        </is>
      </c>
      <c r="C20" s="43" t="n">
        <v>3</v>
      </c>
      <c r="D20" s="152">
        <f>C20/$C$24</f>
        <v/>
      </c>
      <c r="E20" s="109">
        <f>D20+E19</f>
        <v/>
      </c>
      <c r="F20" s="43">
        <f>IF(C20=0,0,MAX(1,ROUND(C20/MAX($C$2:$C$23)*5,0)))</f>
        <v/>
      </c>
      <c r="G20">
        <f>IF(E19&lt;0.8,"A · vital","B · trivial")</f>
        <v/>
      </c>
    </row>
    <row r="21" s="463">
      <c r="A21" s="108" t="inlineStr">
        <is>
          <t>Ter identificação visível</t>
        </is>
      </c>
      <c r="B21" s="32" t="inlineStr">
        <is>
          <t>N</t>
        </is>
      </c>
      <c r="C21" s="43" t="n">
        <v>2</v>
      </c>
      <c r="D21" s="152">
        <f>C21/$C$24</f>
        <v/>
      </c>
      <c r="E21" s="109">
        <f>D21+E20</f>
        <v/>
      </c>
      <c r="F21" s="229">
        <f>IF(C21=0,0,MAX(1,ROUND(C21/MAX($C$2:$C$23)*5,0)))</f>
        <v/>
      </c>
      <c r="G21">
        <f>IF(E20&lt;0.8,"A · vital","B · trivial")</f>
        <v/>
      </c>
    </row>
    <row r="22">
      <c r="A22" s="108" t="inlineStr">
        <is>
          <t>Ser de fácil desmontagem</t>
        </is>
      </c>
      <c r="B22" s="32" t="inlineStr">
        <is>
          <t>R</t>
        </is>
      </c>
      <c r="C22" s="43" t="n">
        <v>0</v>
      </c>
      <c r="D22" s="152">
        <f>C22/$C$24</f>
        <v/>
      </c>
      <c r="E22" s="109">
        <f>D22+E21</f>
        <v/>
      </c>
      <c r="F22" s="229">
        <f>IF(C22=0,0,MAX(1,ROUND(C22/MAX($C$2:$C$23)*5,0)))</f>
        <v/>
      </c>
      <c r="G22">
        <f>IF(E21&lt;0.8,"A · vital","B · trivial")</f>
        <v/>
      </c>
    </row>
    <row r="23">
      <c r="A23" s="108" t="inlineStr">
        <is>
          <t>Ter materiais recicláveis</t>
        </is>
      </c>
      <c r="B23" s="32" t="inlineStr">
        <is>
          <t>S</t>
        </is>
      </c>
      <c r="C23" s="43" t="n">
        <v>0</v>
      </c>
      <c r="D23" s="152">
        <f>C23/$C$24</f>
        <v/>
      </c>
      <c r="E23" s="109">
        <f>D23+E22</f>
        <v/>
      </c>
      <c r="F23" s="229">
        <f>IF(C23=0,0,MAX(1,ROUND(C23/MAX($C$2:$C$23)*5,0)))</f>
        <v/>
      </c>
      <c r="G23">
        <f>IF(E22&lt;0.8,"A · vital","B · trivial")</f>
        <v/>
      </c>
    </row>
    <row r="24">
      <c r="A24" s="108" t="n"/>
      <c r="B24" s="32" t="n"/>
      <c r="C24" s="43">
        <f>SUM(C2:C23)</f>
        <v/>
      </c>
      <c r="D24" s="152">
        <f>SUM(D2:D23)</f>
        <v/>
      </c>
      <c r="E24" s="109" t="n"/>
      <c r="F24" s="229" t="n"/>
    </row>
    <row r="25">
      <c r="D25" s="125" t="n"/>
    </row>
    <row r="26">
      <c r="B26" s="442" t="n"/>
    </row>
    <row r="27">
      <c r="A27" t="inlineStr">
        <is>
          <t>O grau de importância normaliza a pontuação do Mudge em escala de 0 a 5: o requisito mais pontuado recebe grau 5 e os demais são ajustados proporcionalmente. É esse grau que entra no QFD.</t>
        </is>
      </c>
      <c r="D27" s="125" t="n"/>
    </row>
    <row r="28">
      <c r="D28" s="125" t="n"/>
    </row>
    <row r="29">
      <c r="A29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D29" s="125" t="n"/>
    </row>
    <row r="30"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7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7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7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7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76" t="inlineStr">
        <is>
          <t>Especificação meta e requisitos</t>
        </is>
      </c>
      <c r="C2" s="477" t="n"/>
      <c r="D2" s="250" t="n"/>
      <c r="E2" s="476" t="inlineStr">
        <is>
          <t>Função Global</t>
        </is>
      </c>
      <c r="F2" s="478" t="n"/>
      <c r="G2" s="478" t="n"/>
      <c r="H2" s="47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6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9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8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8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8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8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8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8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9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91" t="n"/>
      <c r="C29" s="368" t="n"/>
      <c r="D29" s="492" t="n"/>
      <c r="K29" s="49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94" t="n"/>
      <c r="C31" s="368" t="n"/>
      <c r="D31" s="492" t="n"/>
      <c r="K31" s="49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95" t="n"/>
      <c r="C33" s="368" t="n"/>
      <c r="D33" s="492" t="n"/>
      <c r="K33" s="49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96" t="n"/>
      <c r="C35" s="368" t="n"/>
      <c r="D35" s="492" t="n"/>
      <c r="K35" s="49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7" t="n"/>
      <c r="C37" s="368" t="n"/>
      <c r="D37" s="492" t="n"/>
      <c r="K37" s="49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9" t="n"/>
      <c r="C2" s="452" t="n"/>
      <c r="D2" s="500" t="n"/>
      <c r="H2" s="50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2026-09-15T02:12:32Z</dcterms:created>
  <dcterms:modified xmlns:dcterms="http://purl.org/dc/terms/" xmlns:xsi="http://www.w3.org/2001/XMLSchema-instance" xsi:type="dcterms:W3CDTF">2026-09-15T02:12:33Z</dcterms:modified>
</cp:coreProperties>
</file>