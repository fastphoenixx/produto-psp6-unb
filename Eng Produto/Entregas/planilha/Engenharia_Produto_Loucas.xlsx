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4c21767d004a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.Roteiro" sheetId="1" r:id="Rbf6b238b639e49a3"/>
    <x:sheet xmlns:r="http://schemas.openxmlformats.org/officeDocument/2006/relationships" name="1.Problema" sheetId="2" r:id="R89b3fb8f4b45499f"/>
    <x:sheet xmlns:r="http://schemas.openxmlformats.org/officeDocument/2006/relationships" name="2.Evidências" sheetId="3" r:id="R76190733ecc14087"/>
    <x:sheet xmlns:r="http://schemas.openxmlformats.org/officeDocument/2006/relationships" name="3.Stakeholders" sheetId="4" r:id="R3be8c987c9b14a07"/>
    <x:sheet xmlns:r="http://schemas.openxmlformats.org/officeDocument/2006/relationships" name="4.Ciclo de vida" sheetId="5" r:id="Rac6b6b555c98462d"/>
    <x:sheet xmlns:r="http://schemas.openxmlformats.org/officeDocument/2006/relationships" name="5.Necessidades" sheetId="6" r:id="Rf3e6d0946c6548c7"/>
    <x:sheet xmlns:r="http://schemas.openxmlformats.org/officeDocument/2006/relationships" name="5.1 Matriz de atributos" sheetId="7" r:id="R55724a0031214ff2"/>
    <x:sheet xmlns:r="http://schemas.openxmlformats.org/officeDocument/2006/relationships" name="5.2 Cenários" sheetId="8" r:id="R7896fff4b61642fc"/>
    <x:sheet xmlns:r="http://schemas.openxmlformats.org/officeDocument/2006/relationships" name="6.Requisitos" sheetId="9" r:id="Rdcd0c6ded7354028"/>
    <x:sheet xmlns:r="http://schemas.openxmlformats.org/officeDocument/2006/relationships" name="7.Priorização" sheetId="10" r:id="R9a358d9de5564734"/>
    <x:sheet xmlns:r="http://schemas.openxmlformats.org/officeDocument/2006/relationships" name="8.QFD" sheetId="11" r:id="R5606dcf0af3c4f7a"/>
    <x:sheet xmlns:r="http://schemas.openxmlformats.org/officeDocument/2006/relationships" name="9.Funções e soluções" sheetId="12" r:id="R249d91bfd90d4d36"/>
    <x:sheet xmlns:r="http://schemas.openxmlformats.org/officeDocument/2006/relationships" name="10.Seleção e arquitetura" sheetId="13" r:id="R46f4ace365274202"/>
    <x:sheet xmlns:r="http://schemas.openxmlformats.org/officeDocument/2006/relationships" name="11.Riscos e valor" sheetId="14" r:id="R88b429db4b51455b"/>
    <x:sheet xmlns:r="http://schemas.openxmlformats.org/officeDocument/2006/relationships" name="12.Pendências" sheetId="15" r:id="R893e432d7f3843ab"/>
    <x:sheet xmlns:r="http://schemas.openxmlformats.org/officeDocument/2006/relationships" name="13.Fontes" sheetId="16" r:id="Rfe0f1ffd1f0c46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&quot;R$&quot; #,##0.00"/>
  </x:numFmts>
  <x:fonts count="9">
    <x:font>
      <x:sz val="11"/>
      <x:name val="Carlito"/>
    </x:font>
    <x:font>
      <x:b/>
      <x:sz val="16"/>
      <x:color rgb="FF0B2447"/>
      <x:name val="Arial"/>
    </x:font>
    <x:font>
      <x:i/>
      <x:sz val="10"/>
      <x:color rgb="FF4B5563"/>
      <x:name val="Arial"/>
    </x:font>
    <x:font>
      <x:b/>
      <x:sz val="10"/>
      <x:color rgb="FF0B2447"/>
      <x:name val="Arial"/>
    </x:font>
    <x:font>
      <x:b/>
      <x:sz val="12"/>
      <x:color rgb="FF0B244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sz val="9"/>
      <x:color rgb="FF1F2937"/>
      <x:name val="Arial"/>
    </x:font>
    <x:font>
      <x:b/>
      <x:sz val="11"/>
      <x:color rgb="FF0B2447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7F3EA"/>
      </x:patternFill>
    </x:fill>
    <x:fill>
      <x:patternFill patternType="solid">
        <x:fgColor rgb="FF0B2447"/>
      </x:patternFill>
    </x:fill>
    <x:fill>
      <x:patternFill patternType="solid">
        <x:fgColor rgb="FF163E6C"/>
      </x:patternFill>
    </x:fill>
    <x:fill>
      <x:patternFill patternType="solid">
        <x:fgColor rgb="FFEAF0F7"/>
      </x:patternFill>
    </x:fill>
    <x:fill>
      <x:patternFill patternType="solid">
        <x:fgColor rgb="FFFFF4D6"/>
      </x:patternFill>
    </x:fill>
  </x:fills>
  <x:borders count="4">
    <x:border/>
    <x:border>
      <x:bottom style="medium">
        <x:color rgb="FFC89B3C"/>
      </x:bottom>
    </x:border>
    <x:border>
      <x:left style="thin">
        <x:color rgb="FFE1E5EA"/>
      </x:left>
      <x:right style="thin">
        <x:color rgb="FFE1E5EA"/>
      </x:right>
      <x:top style="thin">
        <x:color rgb="FFE1E5EA"/>
      </x:top>
      <x:bottom style="thin">
        <x:color rgb="FFE1E5EA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4" borderId="2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6" fillId="5" borderId="2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6" fillId="2" borderId="2" xfId="0" applyNumberFormat="1" applyFont="1" applyFill="1" applyBorder="1" applyAlignment="1">
      <x:alignment vertical="center" wrapText="1"/>
    </x:xf>
    <x:xf numFmtId="0" fontId="8" fillId="2" borderId="2" xfId="0" applyNumberFormat="1" applyFont="1" applyFill="1" applyBorder="1" applyAlignment="1">
      <x:alignment vertical="center" wrapText="1"/>
    </x:xf>
    <x:xf numFmtId="0" fontId="8" fillId="2" borderId="2" xfId="0" applyNumberFormat="1" applyFont="1" applyFill="1" applyBorder="1" applyAlignment="1">
      <x:alignment horizontal="center" vertical="center" wrapText="1"/>
    </x:xf>
    <x:xf numFmtId="0" fontId="6" fillId="6" borderId="2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200" fontId="6" fillId="6" borderId="2" xfId="0" applyNumberFormat="1" applyFont="1" applyFill="1" applyBorder="1" applyAlignment="1">
      <x:alignment vertical="center" wrapText="1"/>
    </x:xf>
    <x:xf numFmtId="201" fontId="6" fillId="6" borderId="2" xfId="0" applyNumberFormat="1" applyFont="1" applyFill="1" applyBorder="1" applyAlignment="1">
      <x:alignment vertical="center" wrapText="1"/>
    </x:xf>
    <x:xf numFmtId="200" fontId="6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166534"/>
      </x:font>
      <x:fill>
        <x:patternFill patternType="solid">
          <x:bgColor rgb="FFDDEFE2"/>
        </x:patternFill>
      </x:fill>
    </x:dxf>
    <x:dxf>
      <x:font>
        <x:b/>
        <x:color rgb="FF92400E"/>
      </x:font>
      <x:fill>
        <x:patternFill patternType="solid">
          <x:bgColor rgb="FFFFF4D6"/>
        </x:patternFill>
      </x:fill>
    </x:dxf>
    <x:dxf>
      <x:font>
        <x:color rgb="FF4B5563"/>
      </x:font>
      <x:fill>
        <x:patternFill patternType="solid">
          <x:bgColor rgb="FFF3F4F6"/>
        </x:patternFill>
      </x:fill>
    </x:dxf>
    <x:dxf>
      <x:font>
        <x:b/>
        <x:color rgb="FF991B1B"/>
      </x:font>
      <x:fill>
        <x:patternFill patternType="solid">
          <x:bgColor rgb="FFFBE4E6"/>
        </x:patternFill>
      </x:fill>
    </x:dxf>
    <x:dxf>
      <x:font>
        <x:b/>
        <x:color rgb="FF166534"/>
      </x:font>
      <x:fill>
        <x:patternFill patternType="solid">
          <x:bgColor rgb="FFDDEF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5208330629471d" /><Relationship Type="http://schemas.openxmlformats.org/officeDocument/2006/relationships/theme" Target="/xl/theme/theme1.xml" Id="R83b79eaaad2c4837" /><Relationship Type="http://schemas.openxmlformats.org/officeDocument/2006/relationships/sharedStrings" Target="/xl/sharedStrings.xml" Id="R9ac57f3d94f4439f" /><Relationship Type="http://schemas.openxmlformats.org/officeDocument/2006/relationships/worksheet" Target="/xl/worksheets/sheet1.xml" Id="Rbf6b238b639e49a3" /><Relationship Type="http://schemas.openxmlformats.org/officeDocument/2006/relationships/worksheet" Target="/xl/worksheets/sheet2.xml" Id="R89b3fb8f4b45499f" /><Relationship Type="http://schemas.openxmlformats.org/officeDocument/2006/relationships/worksheet" Target="/xl/worksheets/sheet3.xml" Id="R76190733ecc14087" /><Relationship Type="http://schemas.openxmlformats.org/officeDocument/2006/relationships/worksheet" Target="/xl/worksheets/sheet4.xml" Id="R3be8c987c9b14a07" /><Relationship Type="http://schemas.openxmlformats.org/officeDocument/2006/relationships/worksheet" Target="/xl/worksheets/sheet5.xml" Id="Rac6b6b555c98462d" /><Relationship Type="http://schemas.openxmlformats.org/officeDocument/2006/relationships/worksheet" Target="/xl/worksheets/sheet6.xml" Id="Rf3e6d0946c6548c7" /><Relationship Type="http://schemas.openxmlformats.org/officeDocument/2006/relationships/worksheet" Target="/xl/worksheets/sheet7.xml" Id="R55724a0031214ff2" /><Relationship Type="http://schemas.openxmlformats.org/officeDocument/2006/relationships/worksheet" Target="/xl/worksheets/sheet8.xml" Id="R7896fff4b61642fc" /><Relationship Type="http://schemas.openxmlformats.org/officeDocument/2006/relationships/worksheet" Target="/xl/worksheets/sheet9.xml" Id="Rdcd0c6ded7354028" /><Relationship Type="http://schemas.openxmlformats.org/officeDocument/2006/relationships/worksheet" Target="/xl/worksheets/sheet10.xml" Id="R9a358d9de5564734" /><Relationship Type="http://schemas.openxmlformats.org/officeDocument/2006/relationships/worksheet" Target="/xl/worksheets/sheet11.xml" Id="R5606dcf0af3c4f7a" /><Relationship Type="http://schemas.openxmlformats.org/officeDocument/2006/relationships/worksheet" Target="/xl/worksheets/sheet12.xml" Id="R249d91bfd90d4d36" /><Relationship Type="http://schemas.openxmlformats.org/officeDocument/2006/relationships/worksheet" Target="/xl/worksheets/sheet13.xml" Id="R46f4ace365274202" /><Relationship Type="http://schemas.openxmlformats.org/officeDocument/2006/relationships/worksheet" Target="/xl/worksheets/sheet14.xml" Id="R88b429db4b51455b" /><Relationship Type="http://schemas.openxmlformats.org/officeDocument/2006/relationships/worksheet" Target="/xl/worksheets/sheet15.xml" Id="R893e432d7f3843ab" /><Relationship Type="http://schemas.openxmlformats.org/officeDocument/2006/relationships/worksheet" Target="/xl/worksheets/sheet16.xml" Id="Rfe0f1ffd1f0c46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B2447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6" hidden="0" customWidth="1"/>
    <x:col min="2" max="2" width="22" hidden="0" customWidth="1"/>
    <x:col min="3" max="3" width="14" hidden="0" customWidth="1"/>
    <x:col min="4" max="4" width="34" hidden="0" customWidth="1"/>
    <x:col min="5" max="5" width="34" hidden="0" customWidth="1"/>
    <x:col min="6" max="6" width="16" hidden="0" customWidth="1"/>
    <x:col min="7" max="7" width="24" hidden="0" customWidth="1"/>
    <x:col min="8" max="8" width="24" hidden="0" customWidth="1"/>
  </x:cols>
  <x:sheetData>
    <x:row r="2" ht="30" customHeight="1">
      <x:c r="A2" s="2" t="str">
        <x:v>Roteiro metodológico do projeto</x:v>
      </x:c>
      <x:c r="B2" s="2"/>
      <x:c r="C2" s="2"/>
      <x:c r="D2" s="2"/>
      <x:c r="E2" s="2"/>
      <x:c r="F2" s="2"/>
      <x:c r="G2" s="2"/>
      <x:c r="H2" s="2"/>
    </x:row>
    <x:row r="3">
      <x:c r="A3" s="3"/>
      <x:c r="B3" s="3"/>
      <x:c r="C3" s="3"/>
      <x:c r="D3" s="3"/>
      <x:c r="E3" s="3"/>
      <x:c r="F3" s="3"/>
      <x:c r="G3" s="3"/>
      <x:c r="H3" s="3"/>
    </x:row>
    <x:row r="4" ht="34" customHeight="1">
      <x:c r="A4" s="6" t="str">
        <x:v>Ordem das atividades alinhada às aulas e ao PDP. Os itens futuros permanecem sem dados até que a respectiva fase seja executada.</x:v>
      </x:c>
      <x:c r="B4" s="6"/>
      <x:c r="C4" s="6"/>
      <x:c r="D4" s="6"/>
      <x:c r="E4" s="6"/>
      <x:c r="F4" s="6"/>
      <x:c r="G4" s="6"/>
      <x:c r="H4" s="6"/>
    </x:row>
    <x:row r="6">
      <x:c r="A6" s="10" t="str">
        <x:v>Etapas concluídas</x:v>
      </x:c>
      <x:c r="B6" s="11" t="n">
        <x:f>COUNTIFS($F$10:$F$27,"Concluído")</x:f>
        <x:v>8</x:v>
      </x:c>
      <x:c r="C6" s="10" t="str">
        <x:v>Em andamento</x:v>
      </x:c>
      <x:c r="D6" s="10" t="n">
        <x:f>COUNTIFS($F$10:$F$27,"Em andamento")</x:f>
        <x:v>2</x:v>
      </x:c>
      <x:c r="E6" s="10" t="str">
        <x:v>A iniciar</x:v>
      </x:c>
      <x:c r="F6" s="10" t="n">
        <x:f>COUNTIFS($F$10:$F$27,"A iniciar")</x:f>
        <x:v>8</x:v>
      </x:c>
      <x:c r="G6" s="10" t="str">
        <x:v>Total</x:v>
      </x:c>
      <x:c r="H6" s="10" t="n">
        <x:f>COUNTA($A$10:$A$27)</x:f>
        <x:v>18</x:v>
      </x:c>
    </x:row>
    <x:row r="8" ht="23" customHeight="1">
      <x:c r="A8" s="14" t="str">
        <x:v>Sequência de trabalho</x:v>
      </x:c>
      <x:c r="B8" s="14"/>
      <x:c r="C8" s="14"/>
      <x:c r="D8" s="14"/>
      <x:c r="E8" s="14"/>
      <x:c r="F8" s="14"/>
      <x:c r="G8" s="14"/>
      <x:c r="H8" s="14"/>
    </x:row>
    <x:row r="9" ht="15" hidden="0" customHeight="1">
      <x:c r="A9" s="22" t="str">
        <x:v>ID</x:v>
      </x:c>
      <x:c r="B9" s="22" t="str">
        <x:v>Fase</x:v>
      </x:c>
      <x:c r="C9" s="22" t="str">
        <x:v>Momento</x:v>
      </x:c>
      <x:c r="D9" s="22" t="str">
        <x:v>Atividade</x:v>
      </x:c>
      <x:c r="E9" s="22" t="str">
        <x:v>Saída esperada</x:v>
      </x:c>
      <x:c r="F9" s="22" t="str">
        <x:v>Status</x:v>
      </x:c>
      <x:c r="G9" s="22" t="str">
        <x:v>Aba</x:v>
      </x:c>
      <x:c r="H9" s="22" t="str">
        <x:v>Referência</x:v>
      </x:c>
    </x:row>
    <x:row r="10" ht="15" hidden="0" customHeight="1">
      <x:c r="A10" s="18" t="str">
        <x:v>1</x:v>
      </x:c>
      <x:c r="B10" s="18" t="str">
        <x:v>Descoberta</x:v>
      </x:c>
      <x:c r="C10" s="18" t="str">
        <x:v>Semana 3</x:v>
      </x:c>
      <x:c r="D10" s="18" t="str">
        <x:v>Mapear a cadeia do problema</x:v>
      </x:c>
      <x:c r="E10" s="18" t="str">
        <x:v>Fluxo fabricação–instalação</x:v>
      </x:c>
      <x:c r="F10" s="18" t="str">
        <x:v>Concluído</x:v>
      </x:c>
      <x:c r="G10" s="18" t="str">
        <x:v>1.Problema</x:v>
      </x:c>
      <x:c r="H10" s="18" t="str">
        <x:v>Slides do projeto, p. 2</x:v>
      </x:c>
    </x:row>
    <x:row r="11" ht="15" hidden="0" customHeight="1">
      <x:c r="A11" s="18" t="str">
        <x:v>2</x:v>
      </x:c>
      <x:c r="B11" s="18" t="str">
        <x:v>Descoberta</x:v>
      </x:c>
      <x:c r="C11" s="18" t="str">
        <x:v>Semana 3</x:v>
      </x:c>
      <x:c r="D11" s="18" t="str">
        <x:v>Observar o contexto e ouvir os atores</x:v>
      </x:c>
      <x:c r="E11" s="18" t="str">
        <x:v>Registros de campo e entrevistas</x:v>
      </x:c>
      <x:c r="F11" s="18" t="str">
        <x:v>Concluído</x:v>
      </x:c>
      <x:c r="G11" s="18" t="str">
        <x:v>2.Evidências</x:v>
      </x:c>
      <x:c r="H11" s="18" t="str">
        <x:v>Slides do projeto, p. 3</x:v>
      </x:c>
    </x:row>
    <x:row r="12" ht="15" hidden="0" customHeight="1">
      <x:c r="A12" s="18" t="str">
        <x:v>3</x:v>
      </x:c>
      <x:c r="B12" s="18" t="str">
        <x:v>Planejamento do produto</x:v>
      </x:c>
      <x:c r="C12" s="18" t="str">
        <x:v>Semana 3</x:v>
      </x:c>
      <x:c r="D12" s="18" t="str">
        <x:v>Sustentar escala e buscar anterioridade</x:v>
      </x:c>
      <x:c r="E12" s="18" t="str">
        <x:v>Escala setorial e padrões de solução</x:v>
      </x:c>
      <x:c r="F12" s="18" t="str">
        <x:v>Concluído</x:v>
      </x:c>
      <x:c r="G12" s="18" t="str">
        <x:v>2.Evidências</x:v>
      </x:c>
      <x:c r="H12" s="18" t="str">
        <x:v>Slides do projeto, p. 5–6</x:v>
      </x:c>
    </x:row>
    <x:row r="13" ht="15" hidden="0" customHeight="1">
      <x:c r="A13" s="18" t="str">
        <x:v>4</x:v>
      </x:c>
      <x:c r="B13" s="18" t="str">
        <x:v>Definição</x:v>
      </x:c>
      <x:c r="C13" s="18" t="str">
        <x:v>Semana 3</x:v>
      </x:c>
      <x:c r="D13" s="18" t="str">
        <x:v>Delimitar problema e oportunidade</x:v>
      </x:c>
      <x:c r="E13" s="18" t="str">
        <x:v>Enunciados aprováveis no gate</x:v>
      </x:c>
      <x:c r="F13" s="18" t="str">
        <x:v>Concluído</x:v>
      </x:c>
      <x:c r="G13" s="18" t="str">
        <x:v>1.Problema</x:v>
      </x:c>
      <x:c r="H13" s="18" t="str">
        <x:v>Slides do projeto, p. 4, 7 e 9</x:v>
      </x:c>
    </x:row>
    <x:row r="14" ht="15" hidden="0" customHeight="1">
      <x:c r="A14" s="18" t="str">
        <x:v>5</x:v>
      </x:c>
      <x:c r="B14" s="18" t="str">
        <x:v>Projeto informacional</x:v>
      </x:c>
      <x:c r="C14" s="18" t="str">
        <x:v>Semana 4</x:v>
      </x:c>
      <x:c r="D14" s="18" t="str">
        <x:v>Revisar o escopo do produto</x:v>
      </x:c>
      <x:c r="E14" s="18" t="str">
        <x:v>Escopo, restrições e estratégia ATO</x:v>
      </x:c>
      <x:c r="F14" s="18" t="str">
        <x:v>Concluído</x:v>
      </x:c>
      <x:c r="G14" s="18" t="str">
        <x:v>4.Ciclo de vida</x:v>
      </x:c>
      <x:c r="H14" s="18" t="str">
        <x:v>Aula 10</x:v>
      </x:c>
    </x:row>
    <x:row r="15" ht="15" hidden="0" customHeight="1">
      <x:c r="A15" s="18" t="str">
        <x:v>6</x:v>
      </x:c>
      <x:c r="B15" s="18" t="str">
        <x:v>Projeto informacional</x:v>
      </x:c>
      <x:c r="C15" s="18" t="str">
        <x:v>Semana 4</x:v>
      </x:c>
      <x:c r="D15" s="18" t="str">
        <x:v>Definir ciclo de vida e clientes</x:v>
      </x:c>
      <x:c r="E15" s="18" t="str">
        <x:v>Ciclo macro, ciclo operacional e clientes por etapa</x:v>
      </x:c>
      <x:c r="F15" s="18" t="str">
        <x:v>Concluído</x:v>
      </x:c>
      <x:c r="G15" s="18" t="str">
        <x:v>4.Ciclo de vida</x:v>
      </x:c>
      <x:c r="H15" s="18" t="str">
        <x:v>Aula 10</x:v>
      </x:c>
    </x:row>
    <x:row r="16" ht="15" hidden="0" customHeight="1">
      <x:c r="A16" s="18" t="str">
        <x:v>7</x:v>
      </x:c>
      <x:c r="B16" s="18" t="str">
        <x:v>Projeto informacional</x:v>
      </x:c>
      <x:c r="C16" s="18" t="str">
        <x:v>Semana 4</x:v>
      </x:c>
      <x:c r="D16" s="18" t="str">
        <x:v>Levantar necessidades dos clientes</x:v>
      </x:c>
      <x:c r="E16" s="18" t="str">
        <x:v>44 necessidades consolidadas e classificadas</x:v>
      </x:c>
      <x:c r="F16" s="18" t="str">
        <x:v>Concluído</x:v>
      </x:c>
      <x:c r="G16" s="18" t="str">
        <x:v>5.Necessidades</x:v>
      </x:c>
      <x:c r="H16" s="18" t="str">
        <x:v>Aula 11</x:v>
      </x:c>
    </x:row>
    <x:row r="17" ht="24" hidden="0" customHeight="1">
      <x:c r="A17" s="18" t="str">
        <x:v>8</x:v>
      </x:c>
      <x:c r="B17" s="18" t="str">
        <x:v>Projeto informacional</x:v>
      </x:c>
      <x:c r="C17" s="18" t="str">
        <x:v>Semana 4</x:v>
      </x:c>
      <x:c r="D17" s="18" t="str">
        <x:v>Converter necessidades em requisitos</x:v>
      </x:c>
      <x:c r="E17" s="18" t="str">
        <x:v>Matriz de atributos, cenários e 26 requisitos dos clientes</x:v>
      </x:c>
      <x:c r="F17" s="18" t="str">
        <x:v>Concluído</x:v>
      </x:c>
      <x:c r="G17" s="18" t="str">
        <x:v>6.Requisitos</x:v>
      </x:c>
      <x:c r="H17" s="18" t="str">
        <x:v>Aula 12</x:v>
      </x:c>
    </x:row>
    <x:row r="18" ht="15" hidden="0" customHeight="1">
      <x:c r="A18" s="18" t="str">
        <x:v>9</x:v>
      </x:c>
      <x:c r="B18" s="18" t="str">
        <x:v>Projeto informacional</x:v>
      </x:c>
      <x:c r="C18" s="18" t="str">
        <x:v>Semana 5</x:v>
      </x:c>
      <x:c r="D18" s="18" t="str">
        <x:v>Classificar e priorizar requisitos</x:v>
      </x:c>
      <x:c r="E18" s="18" t="str">
        <x:v>Kano, Mudge, Pareto e benchmarking</x:v>
      </x:c>
      <x:c r="F18" s="18" t="str">
        <x:v>Em andamento</x:v>
      </x:c>
      <x:c r="G18" s="18" t="str">
        <x:v>7.Priorização</x:v>
      </x:c>
      <x:c r="H18" s="18" t="str">
        <x:v>Aulas 9–10</x:v>
      </x:c>
    </x:row>
    <x:row r="19" ht="15" hidden="0" customHeight="1">
      <x:c r="A19" s="18" t="str">
        <x:v>10</x:v>
      </x:c>
      <x:c r="B19" s="18" t="str">
        <x:v>Projeto informacional</x:v>
      </x:c>
      <x:c r="C19" s="18" t="str">
        <x:v>Semana 5</x:v>
      </x:c>
      <x:c r="D19" s="18" t="str">
        <x:v>Desdobrar a função qualidade</x:v>
      </x:c>
      <x:c r="E19" s="18" t="str">
        <x:v>QFD e especificações-meta</x:v>
      </x:c>
      <x:c r="F19" s="18" t="str">
        <x:v>A iniciar</x:v>
      </x:c>
      <x:c r="G19" s="18" t="str">
        <x:v>8.QFD</x:v>
      </x:c>
      <x:c r="H19" s="18" t="str">
        <x:v>Aulas 9–10</x:v>
      </x:c>
    </x:row>
    <x:row r="20" ht="15" hidden="0" customHeight="1">
      <x:c r="A20" s="18" t="str">
        <x:v>11</x:v>
      </x:c>
      <x:c r="B20" s="18" t="str">
        <x:v>Projeto conceitual</x:v>
      </x:c>
      <x:c r="C20" s="18" t="str">
        <x:v>Semanas 6–8</x:v>
      </x:c>
      <x:c r="D20" s="18" t="str">
        <x:v>Modelar funções e gerar princípios</x:v>
      </x:c>
      <x:c r="E20" s="18" t="str">
        <x:v>Estruturas funcionais, morfológica e TRIZ</x:v>
      </x:c>
      <x:c r="F20" s="18" t="str">
        <x:v>A iniciar</x:v>
      </x:c>
      <x:c r="G20" s="18" t="str">
        <x:v>9.Funções e soluções</x:v>
      </x:c>
      <x:c r="H20" s="18" t="str">
        <x:v>Aulas 11–16</x:v>
      </x:c>
    </x:row>
    <x:row r="21" ht="15" hidden="0" customHeight="1">
      <x:c r="A21" s="18" t="str">
        <x:v>12</x:v>
      </x:c>
      <x:c r="B21" s="18" t="str">
        <x:v>Projeto conceitual</x:v>
      </x:c>
      <x:c r="C21" s="18" t="str">
        <x:v>Semana 8</x:v>
      </x:c>
      <x:c r="D21" s="18" t="str">
        <x:v>Selecionar estrutura funcional</x:v>
      </x:c>
      <x:c r="E21" s="18" t="str">
        <x:v>Matriz de Pugh</x:v>
      </x:c>
      <x:c r="F21" s="18" t="str">
        <x:v>A iniciar</x:v>
      </x:c>
      <x:c r="G21" s="18" t="str">
        <x:v>10.Seleção e arquitetura</x:v>
      </x:c>
      <x:c r="H21" s="18" t="str">
        <x:v>Aulas 15–16</x:v>
      </x:c>
    </x:row>
    <x:row r="22" ht="15" hidden="0" customHeight="1">
      <x:c r="A22" s="18" t="str">
        <x:v>13</x:v>
      </x:c>
      <x:c r="B22" s="18" t="str">
        <x:v>Projeto conceitual</x:v>
      </x:c>
      <x:c r="C22" s="18" t="str">
        <x:v>Semana 9</x:v>
      </x:c>
      <x:c r="D22" s="18" t="str">
        <x:v>Definir arquitetura do produto</x:v>
      </x:c>
      <x:c r="E22" s="18" t="str">
        <x:v>Módulos, interfaces e MIM</x:v>
      </x:c>
      <x:c r="F22" s="18" t="str">
        <x:v>A iniciar</x:v>
      </x:c>
      <x:c r="G22" s="18" t="str">
        <x:v>10.Seleção e arquitetura</x:v>
      </x:c>
      <x:c r="H22" s="18" t="str">
        <x:v>Aulas 17–18</x:v>
      </x:c>
    </x:row>
    <x:row r="23" ht="15" hidden="0" customHeight="1">
      <x:c r="A23" s="18" t="str">
        <x:v>14</x:v>
      </x:c>
      <x:c r="B23" s="18" t="str">
        <x:v>Projeto conceitual</x:v>
      </x:c>
      <x:c r="C23" s="18" t="str">
        <x:v>Semana 10</x:v>
      </x:c>
      <x:c r="D23" s="18" t="str">
        <x:v>Gerar e selecionar concepções</x:v>
      </x:c>
      <x:c r="E23" s="18" t="str">
        <x:v>Concepção, protótipo, MVP e TRL</x:v>
      </x:c>
      <x:c r="F23" s="18" t="str">
        <x:v>A iniciar</x:v>
      </x:c>
      <x:c r="G23" s="18" t="str">
        <x:v>10.Seleção e arquitetura</x:v>
      </x:c>
      <x:c r="H23" s="18" t="str">
        <x:v>Aulas 19–20</x:v>
      </x:c>
    </x:row>
    <x:row r="24" ht="15" hidden="0" customHeight="1">
      <x:c r="A24" s="18" t="str">
        <x:v>15</x:v>
      </x:c>
      <x:c r="B24" s="18" t="str">
        <x:v>Projeto conceitual</x:v>
      </x:c>
      <x:c r="C24" s="18" t="str">
        <x:v>Semanas 11–12</x:v>
      </x:c>
      <x:c r="D24" s="18" t="str">
        <x:v>Selecionar materiais e avaliar valor</x:v>
      </x:c>
      <x:c r="E24" s="18" t="str">
        <x:v>Materiais, DfX e análise de valor</x:v>
      </x:c>
      <x:c r="F24" s="18" t="str">
        <x:v>A iniciar</x:v>
      </x:c>
      <x:c r="G24" s="18" t="str">
        <x:v>11.Riscos e valor</x:v>
      </x:c>
      <x:c r="H24" s="18" t="str">
        <x:v>Aulas 21–22</x:v>
      </x:c>
    </x:row>
    <x:row r="25" ht="15" hidden="0" customHeight="1">
      <x:c r="A25" s="18" t="str">
        <x:v>16</x:v>
      </x:c>
      <x:c r="B25" s="18" t="str">
        <x:v>Projeto detalhado</x:v>
      </x:c>
      <x:c r="C25" s="18" t="str">
        <x:v>Semana 12</x:v>
      </x:c>
      <x:c r="D25" s="18" t="str">
        <x:v>Detalhar produto e suprimentos</x:v>
      </x:c>
      <x:c r="E25" s="18" t="str">
        <x:v>Especificações finais e fornecedores</x:v>
      </x:c>
      <x:c r="F25" s="18" t="str">
        <x:v>A iniciar</x:v>
      </x:c>
      <x:c r="G25" s="18" t="str">
        <x:v>11.Riscos e valor</x:v>
      </x:c>
      <x:c r="H25" s="18" t="str">
        <x:v>Projeto detalhado</x:v>
      </x:c>
    </x:row>
    <x:row r="26" ht="15" hidden="0" customHeight="1">
      <x:c r="A26" s="18" t="str">
        <x:v>17</x:v>
      </x:c>
      <x:c r="B26" s="18" t="str">
        <x:v>Preparação da produção</x:v>
      </x:c>
      <x:c r="C26" s="18" t="str">
        <x:v>Semana 13</x:v>
      </x:c>
      <x:c r="D26" s="18" t="str">
        <x:v>Analisar falhas e preparar produção</x:v>
      </x:c>
      <x:c r="E26" s="18" t="str">
        <x:v>FMEA, lote piloto e homologação</x:v>
      </x:c>
      <x:c r="F26" s="18" t="str">
        <x:v>A iniciar</x:v>
      </x:c>
      <x:c r="G26" s="18" t="str">
        <x:v>11.Riscos e valor</x:v>
      </x:c>
      <x:c r="H26" s="18" t="str">
        <x:v>Aulas 23–24</x:v>
      </x:c>
    </x:row>
    <x:row r="27" ht="15" hidden="0" customHeight="1">
      <x:c r="A27" s="18" t="str">
        <x:v>18</x:v>
      </x:c>
      <x:c r="B27" s="18" t="str">
        <x:v>Gestão do projeto</x:v>
      </x:c>
      <x:c r="C27" s="18" t="str">
        <x:v>Contínuo</x:v>
      </x:c>
      <x:c r="D27" s="18" t="str">
        <x:v>Registrar decisões e pendências</x:v>
      </x:c>
      <x:c r="E27" s="18" t="str">
        <x:v>Histórico verificável</x:v>
      </x:c>
      <x:c r="F27" s="18" t="str">
        <x:v>Em andamento</x:v>
      </x:c>
      <x:c r="G27" s="18" t="str">
        <x:v>12.Pendências</x:v>
      </x:c>
      <x:c r="H27" s="18" t="str">
        <x:v>Atualização contínua</x:v>
      </x:c>
    </x:row>
  </x:sheetData>
  <x:mergeCells>
    <x:mergeCell ref="A2:H2"/>
    <x:mergeCell ref="A4:H4"/>
    <x:mergeCell ref="A8:H8"/>
  </x:mergeCells>
  <x:conditionalFormatting sqref="F10:F27">
    <x:cfRule type="containsText" dxfId="0" priority="1" operator="containsText" text="Concluído"/>
    <x:cfRule type="containsText" dxfId="1" priority="2" operator="containsText" text="Em andamento"/>
    <x:cfRule type="containsText" dxfId="2" priority="3" operator="containsText" text="A iniciar"/>
  </x:conditionalFormatting>
  <x:dataValidations count="1">
    <x:dataValidation type="list" sqref="F10:F27">
      <x:formula1>"Concluído,Em andamento,A iniciar"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B2447"/>
  </x:sheetPr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0" hidden="0" customWidth="1"/>
  </x:cols>
  <x:sheetData>
    <x:row r="2" ht="30" customHeight="1">
      <x:c r="A2" s="2" t="str">
        <x:v>Definição do problema</x:v>
      </x:c>
      <x:c r="B2" s="2"/>
      <x:c r="C2" s="2"/>
      <x:c r="D2" s="2"/>
      <x:c r="E2" s="2"/>
      <x:c r="F2" s="2"/>
      <x:c r="G2" s="2"/>
    </x:row>
    <x:row r="3">
      <x:c r="A3" s="3"/>
      <x:c r="B3" s="3"/>
      <x:c r="C3" s="3"/>
      <x:c r="D3" s="3"/>
      <x:c r="E3" s="3"/>
      <x:c r="F3" s="3"/>
      <x:c r="G3" s="3"/>
    </x:row>
    <x:row r="4" ht="34" customHeight="1">
      <x:c r="A4" s="6" t="str">
        <x:v>Recorte atual: avarias de louças sanitárias no transporte entre o distribuidor e a obra.</x:v>
      </x:c>
      <x:c r="B4" s="6"/>
      <x:c r="C4" s="6"/>
      <x:c r="D4" s="6"/>
      <x:c r="E4" s="6"/>
      <x:c r="F4" s="6"/>
      <x:c r="G4" s="6"/>
    </x:row>
    <x:row r="6" ht="23" customHeight="1">
      <x:c r="A6" s="14" t="str">
        <x:v>Síntese do recorte</x:v>
      </x:c>
      <x:c r="B6" s="14"/>
      <x:c r="C6" s="14"/>
      <x:c r="D6" s="14"/>
      <x:c r="E6" s="14"/>
      <x:c r="F6" s="14"/>
      <x:c r="G6" s="14"/>
    </x:row>
    <x:row r="7" ht="15" hidden="0" customHeight="1">
      <x:c r="A7" s="22" t="str">
        <x:v>Pergunta</x:v>
      </x:c>
      <x:c r="B7" s="22" t="str">
        <x:v>Resposta sustentada</x:v>
      </x:c>
    </x:row>
    <x:row r="8" ht="24" hidden="0" customHeight="1">
      <x:c r="A8" s="18" t="str">
        <x:v>Onde ocorre o elo crítico?</x:v>
      </x:c>
      <x:c r="B8" s="18" t="str">
        <x:v>No transporte de distribuição entre o estoque/loja e a obra, com descarga e múltiplos manuseios.</x:v>
      </x:c>
    </x:row>
    <x:row r="9" ht="24" hidden="0" customHeight="1">
      <x:c r="A9" s="18" t="str">
        <x:v>Quem absorve diretamente?</x:v>
      </x:c>
      <x:c r="B9" s="18" t="str">
        <x:v>O distribuidor, por meio de reposição, crédito ao cliente e nova logística.</x:v>
      </x:c>
    </x:row>
    <x:row r="10" ht="36" hidden="0" customHeight="1">
      <x:c r="A10" s="18" t="str">
        <x:v>Por que o problema persiste?</x:v>
      </x:c>
      <x:c r="B10" s="18" t="str">
        <x:v>Existe tensão entre maior proteção e preço competitivo. As alternativas de alta proteção podem elevar custo e volume logístico.</x:v>
      </x:c>
    </x:row>
    <x:row r="11"/>
    <x:row r="12" ht="15" hidden="0" customHeight="1">
      <x:c r="A12" s="14" t="str">
        <x:v>Cadeia observada</x:v>
      </x:c>
      <x:c r="B12" s="14"/>
      <x:c r="C12" s="14"/>
      <x:c r="D12" s="14"/>
      <x:c r="E12" s="14"/>
      <x:c r="F12" s="14"/>
      <x:c r="G12" s="14"/>
    </x:row>
    <x:row r="13" ht="15" hidden="0" customHeight="1">
      <x:c r="A13" s="22" t="str">
        <x:v>Etapa</x:v>
      </x:c>
      <x:c r="B13" s="22" t="str">
        <x:v>Fabricação/distribuição</x:v>
      </x:c>
      <x:c r="C13" s="22" t="str">
        <x:v>Transporte externo</x:v>
      </x:c>
      <x:c r="D13" s="22" t="str">
        <x:v>Recebimento/abertura</x:v>
      </x:c>
      <x:c r="E13" s="22" t="str">
        <x:v>Movimentação interna</x:v>
      </x:c>
      <x:c r="F13" s="22" t="str">
        <x:v>Instalação</x:v>
      </x:c>
      <x:c r="G13" s="22" t="str">
        <x:v>Situação atual</x:v>
      </x:c>
    </x:row>
    <x:row r="14" ht="15" hidden="0" customHeight="1">
      <x:c r="A14" s="18" t="str">
        <x:v>Papel</x:v>
      </x:c>
      <x:c r="B14" s="18" t="str">
        <x:v>Preparar e expedir</x:v>
      </x:c>
      <x:c r="C14" s="18" t="str">
        <x:v>Levar até a obra</x:v>
      </x:c>
      <x:c r="D14" s="18" t="str">
        <x:v>Descarregar e conferir</x:v>
      </x:c>
      <x:c r="E14" s="18" t="str">
        <x:v>Levar até o ponto de uso</x:v>
      </x:c>
      <x:c r="F14" s="18" t="str">
        <x:v>Instalar a louça</x:v>
      </x:c>
      <x:c r="G14" s="18" t="str">
        <x:v>Mapeada</x:v>
      </x:c>
    </x:row>
    <x:row r="15" ht="24" hidden="0" customHeight="1">
      <x:c r="A15" s="18" t="str">
        <x:v>Evidência disponível</x:v>
      </x:c>
      <x:c r="B15" s="18" t="str">
        <x:v>Escala setorial</x:v>
      </x:c>
      <x:c r="C15" s="18" t="str">
        <x:v>Distribuidor associa avarias ao trecho</x:v>
      </x:c>
      <x:c r="D15" s="18" t="str">
        <x:v>Peças podem chegar trincadas</x:v>
      </x:c>
      <x:c r="E15" s="18" t="str">
        <x:v>Quedas no transporte manual sem acesso para carrinho</x:v>
      </x:c>
      <x:c r="F15" s="18" t="str">
        <x:v>A avaria pode se tornar visível nesta etapa</x:v>
      </x:c>
      <x:c r="G15" s="18" t="str">
        <x:v>Qualitativa</x:v>
      </x:c>
    </x:row>
    <x:row r="16" ht="24" hidden="0" customHeight="1">
      <x:c r="A16" s="18" t="str">
        <x:v>Risco</x:v>
      </x:c>
      <x:c r="B16" s="18" t="str">
        <x:v>Dano latente</x:v>
      </x:c>
      <x:c r="C16" s="18" t="str">
        <x:v>Impacto/vibração/manuseio</x:v>
      </x:c>
      <x:c r="D16" s="18" t="str">
        <x:v>Fragmentos na abertura</x:v>
      </x:c>
      <x:c r="E16" s="18" t="str">
        <x:v>Queda e esforço manual</x:v>
      </x:c>
      <x:c r="F16" s="18" t="str">
        <x:v>Retrabalho e risco ao trabalhador</x:v>
      </x:c>
      <x:c r="G16" s="18" t="str">
        <x:v>A validar</x:v>
      </x:c>
    </x:row>
    <x:row r="17" ht="15" hidden="0" customHeight="1">
      <x:c r="A17" s="18" t="str">
        <x:v>Decisão futura</x:v>
      </x:c>
      <x:c r="B17" s="18" t="str">
        <x:v>Embalagem e unitização</x:v>
      </x:c>
      <x:c r="C17" s="18" t="str">
        <x:v>Proteção e movimentação</x:v>
      </x:c>
      <x:c r="D17" s="18" t="str">
        <x:v>Conferência segura</x:v>
      </x:c>
      <x:c r="E17" s="18" t="str">
        <x:v>Acesso e auxílio de transporte</x:v>
      </x:c>
      <x:c r="F17" s="18" t="str">
        <x:v>Critério de aceitação</x:v>
      </x:c>
      <x:c r="G17" s="18" t="str">
        <x:v>Projeto informacional</x:v>
      </x:c>
    </x:row>
    <x:row r="18" ht="15" hidden="0" customHeight="1">
      <x:c r="A18" s="18" t="str">
        <x:v>Fonte</x:v>
      </x:c>
      <x:c r="B18" s="18" t="str">
        <x:v>E-06</x:v>
      </x:c>
      <x:c r="C18" s="18" t="str">
        <x:v>E-03</x:v>
      </x:c>
      <x:c r="D18" s="18" t="str">
        <x:v>E-04</x:v>
      </x:c>
      <x:c r="E18" s="18" t="str">
        <x:v>E-04</x:v>
      </x:c>
      <x:c r="F18" s="18" t="str">
        <x:v>E-05</x:v>
      </x:c>
      <x:c r="G18" s="18" t="str">
        <x:v>2.Evidências</x:v>
      </x:c>
    </x:row>
    <x:row r="19"/>
    <x:row r="20" ht="15" hidden="0" customHeight="1">
      <x:c r="A20" s="14" t="str">
        <x:v>Enunciados de projeto</x:v>
      </x:c>
      <x:c r="B20" s="14"/>
      <x:c r="C20" s="14"/>
      <x:c r="D20" s="14"/>
      <x:c r="E20" s="14"/>
      <x:c r="F20" s="14"/>
      <x:c r="G20" s="14"/>
    </x:row>
    <x:row r="21" ht="60" hidden="0" customHeight="1">
      <x:c r="A21" s="24" t="str">
        <x:v>Problema definido</x:v>
      </x:c>
      <x:c r="B21" s="18" t="str">
        <x:v>A quebra no transporte entre distribuidor e obra pode permanecer oculta até o recebimento ou a instalação. O evento gera reposição, nova entrega, atraso, desperdício e exposição do trabalhador a peças avariadas ou fragmentos cortantes.</x:v>
      </x:c>
    </x:row>
    <x:row r="22" ht="48" hidden="0" customHeight="1">
      <x:c r="A22" s="24" t="str">
        <x:v>Opportunity statement</x:v>
      </x:c>
      <x:c r="B22" s="18" t="str">
        <x:v>Como podemos reduzir as avarias de louças sanitárias no transporte entre o distribuidor e a obra, diminuindo custos de reposição, atrasos e riscos aos trabalhadores, sem inviabilizar comercialmente o produto ou a operação?</x:v>
      </x:c>
    </x:row>
  </x:sheetData>
  <x:mergeCells>
    <x:mergeCell ref="A2:G2"/>
    <x:mergeCell ref="A4:G4"/>
    <x:mergeCell ref="A6:G6"/>
    <x:mergeCell ref="A12:G12"/>
    <x:mergeCell ref="A20:G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B2447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24" hidden="0" customWidth="1"/>
    <x:col min="3" max="3" width="22" hidden="0" customWidth="1"/>
    <x:col min="4" max="4" width="48" hidden="0" customWidth="1"/>
    <x:col min="5" max="5" width="48" hidden="0" customWidth="1"/>
    <x:col min="6" max="6" width="36" hidden="0" customWidth="1"/>
    <x:col min="7" max="7" width="9" hidden="0" customWidth="1"/>
  </x:cols>
  <x:sheetData>
    <x:row r="2" ht="30" customHeight="1">
      <x:c r="A2" s="2" t="str">
        <x:v>Base de evidências</x:v>
      </x:c>
      <x:c r="B2" s="2"/>
      <x:c r="C2" s="2"/>
      <x:c r="D2" s="2"/>
      <x:c r="E2" s="2"/>
      <x:c r="F2" s="2"/>
      <x:c r="G2" s="2"/>
    </x:row>
    <x:row r="3">
      <x:c r="A3" s="3"/>
      <x:c r="B3" s="3"/>
      <x:c r="C3" s="3"/>
      <x:c r="D3" s="3"/>
      <x:c r="E3" s="3"/>
      <x:c r="F3" s="3"/>
      <x:c r="G3" s="3"/>
    </x:row>
    <x:row r="4" ht="34" customHeight="1">
      <x:c r="A4" s="6" t="str">
        <x:v>Cada afirmação relevante possui um identificador, uma origem e um limite explícito.</x:v>
      </x:c>
      <x:c r="B4" s="6"/>
      <x:c r="C4" s="6"/>
      <x:c r="D4" s="6"/>
      <x:c r="E4" s="6"/>
      <x:c r="F4" s="6"/>
      <x:c r="G4" s="6"/>
    </x:row>
    <x:row r="6" ht="15" hidden="0" customHeight="1">
      <x:c r="A6" s="22" t="str">
        <x:v>ID</x:v>
      </x:c>
      <x:c r="B6" s="22" t="str">
        <x:v>Origem</x:v>
      </x:c>
      <x:c r="C6" s="22" t="str">
        <x:v>Contexto/ator</x:v>
      </x:c>
      <x:c r="D6" s="22" t="str">
        <x:v>Evidência</x:v>
      </x:c>
      <x:c r="E6" s="22" t="str">
        <x:v>Implicação para o projeto</x:v>
      </x:c>
      <x:c r="F6" s="22" t="str">
        <x:v>Limite</x:v>
      </x:c>
      <x:c r="G6" s="22" t="str">
        <x:v>Página</x:v>
      </x:c>
    </x:row>
    <x:row r="7" ht="24" hidden="0" customHeight="1">
      <x:c r="A7" s="18" t="str">
        <x:v>E-01</x:v>
      </x:c>
      <x:c r="B7" s="18" t="str">
        <x:v>Apresentação Semana 03</x:v>
      </x:c>
      <x:c r="C7" s="18" t="str">
        <x:v>Mapa da cadeia</x:v>
      </x:c>
      <x:c r="D7" s="18" t="str">
        <x:v>O fluxo considerado inclui fabricação, distribuição, transporte, recebimento, movimentação interna e instalação.</x:v>
      </x:c>
      <x:c r="E7" s="18" t="str">
        <x:v>O problema precisa ser localizado em uma etapa da cadeia, sem assumir que a avaria nasce onde fica visível.</x:v>
      </x:c>
      <x:c r="F7" s="18" t="str">
        <x:v>Mapa qualitativo.</x:v>
      </x:c>
      <x:c r="G7" s="18" t="n">
        <x:v>2</x:v>
      </x:c>
    </x:row>
    <x:row r="8" ht="24" hidden="0" customHeight="1">
      <x:c r="A8" s="18" t="str">
        <x:v>E-02</x:v>
      </x:c>
      <x:c r="B8" s="18" t="str">
        <x:v>Apresentação Semana 03</x:v>
      </x:c>
      <x:c r="C8" s="18" t="str">
        <x:v>Obra residencial</x:v>
      </x:c>
      <x:c r="D8" s="18" t="str">
        <x:v>A equipe acompanhou recebimento, estoque e movimentação de louças em uma obra em acabamento.</x:v>
      </x:c>
      <x:c r="E8" s="18" t="str">
        <x:v>A observação cobre o ambiente real de obra e sustenta o recorte de campo.</x:v>
      </x:c>
      <x:c r="F8" s="18" t="str">
        <x:v>Não informa tamanho de amostra ou duração.</x:v>
      </x:c>
      <x:c r="G8" s="18" t="n">
        <x:v>3</x:v>
      </x:c>
    </x:row>
    <x:row r="9" ht="24" hidden="0" customHeight="1">
      <x:c r="A9" s="18" t="str">
        <x:v>E-03</x:v>
      </x:c>
      <x:c r="B9" s="18" t="str">
        <x:v>Apresentação Semana 03</x:v>
      </x:c>
      <x:c r="C9" s="18" t="str">
        <x:v>Distribuidor Só Reparos</x:v>
      </x:c>
      <x:c r="D9" s="18" t="str">
        <x:v>O distribuidor associou as avarias principalmente ao transporte entre o estoque da loja e a obra.</x:v>
      </x:c>
      <x:c r="E9" s="18" t="str">
        <x:v>O trecho de distribuição é o elo crítico preliminar.</x:v>
      </x:c>
      <x:c r="F9" s="18" t="str">
        <x:v>Relato de um ator. Requer dados operacionais.</x:v>
      </x:c>
      <x:c r="G9" s="18" t="n">
        <x:v>3</x:v>
      </x:c>
    </x:row>
    <x:row r="10" ht="24" hidden="0" customHeight="1">
      <x:c r="A10" s="18" t="str">
        <x:v>E-04</x:v>
      </x:c>
      <x:c r="B10" s="18" t="str">
        <x:v>Apresentação Semana 03</x:v>
      </x:c>
      <x:c r="C10" s="18" t="str">
        <x:v>Operário Lucas</x:v>
      </x:c>
      <x:c r="D10" s="18" t="str">
        <x:v>Foram relatadas peças que chegam trincadas, quedas na descarga e transporte manual quando não há acesso para carrinho.</x:v>
      </x:c>
      <x:c r="E10" s="18" t="str">
        <x:v>Há dano do produto e exposição humana durante descarga e movimentação.</x:v>
      </x:c>
      <x:c r="F10" s="18" t="str">
        <x:v>Relato qualitativo. Frequência não medida.</x:v>
      </x:c>
      <x:c r="G10" s="18" t="n">
        <x:v>3</x:v>
      </x:c>
    </x:row>
    <x:row r="11" ht="24" hidden="0" customHeight="1">
      <x:c r="A11" s="18" t="str">
        <x:v>E-05</x:v>
      </x:c>
      <x:c r="B11" s="18" t="str">
        <x:v>Apresentação Semana 03</x:v>
      </x:c>
      <x:c r="C11" s="18" t="str">
        <x:v>Convergência de campo</x:v>
      </x:c>
      <x:c r="D11" s="18" t="str">
        <x:v>Obra, operário e distribuidor convergem para uma avaria anterior à instalação, com foco no transporte de distribuição.</x:v>
      </x:c>
      <x:c r="E11" s="18" t="str">
        <x:v>O problema pode ser delimitado antes de propor solução.</x:v>
      </x:c>
      <x:c r="F11" s="18" t="str">
        <x:v>Convergência não substitui medição da taxa de quebra.</x:v>
      </x:c>
      <x:c r="G11" s="18" t="n">
        <x:v>3</x:v>
      </x:c>
    </x:row>
    <x:row r="12" ht="36" hidden="0" customHeight="1">
      <x:c r="A12" s="18" t="str">
        <x:v>E-06</x:v>
      </x:c>
      <x:c r="B12" s="18" t="str">
        <x:v>ANFACER citada na apresentação</x:v>
      </x:c>
      <x:c r="C12" s="18" t="str">
        <x:v>Escala setorial brasileira</x:v>
      </x:c>
      <x:c r="D12" s="18" t="str">
        <x:v>A apresentação registra 22 milhões de peças/ano, 26 unidades fabris de médio e grande porte, 8 estados produtores e aproximadamente 7 mil empregos diretos.</x:v>
      </x:c>
      <x:c r="E12" s="18" t="str">
        <x:v>A cadeia possui escala e recorrência potencial de exposição.</x:v>
      </x:c>
      <x:c r="F12" s="18" t="str">
        <x:v>Os números não comprovam taxa de quebra.</x:v>
      </x:c>
      <x:c r="G12" s="18" t="n">
        <x:v>5</x:v>
      </x:c>
    </x:row>
    <x:row r="13" ht="24" hidden="0" customHeight="1">
      <x:c r="A13" s="18" t="str">
        <x:v>E-07</x:v>
      </x:c>
      <x:c r="B13" s="18" t="str">
        <x:v>Busca preliminar em Google Patents</x:v>
      </x:c>
      <x:c r="C13" s="18" t="str">
        <x:v>Anterioridade tecnológica</x:v>
      </x:c>
      <x:c r="D13" s="18" t="str">
        <x:v>As patentes exibidas tratam de amortecimento, imobilização, resistência e otimização de volume para louças no transporte.</x:v>
      </x:c>
      <x:c r="E13" s="18" t="str">
        <x:v>Já existem famílias de solução. O projeto precisa investigar lacunas de custo, operação e proteção.</x:v>
      </x:c>
      <x:c r="F13" s="18" t="str">
        <x:v>Não constitui parecer de patenteabilidade ou liberdade de operação.</x:v>
      </x:c>
      <x:c r="G13" s="18" t="n">
        <x:v>6</x:v>
      </x:c>
    </x:row>
  </x:sheetData>
  <x:mergeCells>
    <x:mergeCell ref="A2:G2"/>
    <x:mergeCell ref="A4:G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63E6C"/>
  </x:sheetPr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44" hidden="0" customWidth="1"/>
    <x:col min="4" max="4" width="36" hidden="0" customWidth="1"/>
    <x:col min="5" max="5" width="36" hidden="0" customWidth="1"/>
    <x:col min="6" max="6" width="12" hidden="0" customWidth="1"/>
    <x:col min="7" max="7" width="22" hidden="0" customWidth="1"/>
  </x:cols>
  <x:sheetData>
    <x:row r="2" ht="30" customHeight="1">
      <x:c r="A2" s="2" t="str">
        <x:v>Stakeholders preliminares</x:v>
      </x:c>
      <x:c r="B2" s="2"/>
      <x:c r="C2" s="2"/>
      <x:c r="D2" s="2"/>
      <x:c r="E2" s="2"/>
      <x:c r="F2" s="2"/>
      <x:c r="G2" s="2"/>
    </x:row>
    <x:row r="3">
      <x:c r="A3" s="3"/>
      <x:c r="B3" s="3"/>
      <x:c r="C3" s="3"/>
      <x:c r="D3" s="3"/>
      <x:c r="E3" s="3"/>
      <x:c r="F3" s="3"/>
      <x:c r="G3" s="3"/>
    </x:row>
    <x:row r="4" ht="34" customHeight="1">
      <x:c r="A4" s="6" t="str">
        <x:v>Mapa inicial para orientar entrevistas. Classificações ainda precisam ser confirmadas na fase de projeto informacional.</x:v>
      </x:c>
      <x:c r="B4" s="6"/>
      <x:c r="C4" s="6"/>
      <x:c r="D4" s="6"/>
      <x:c r="E4" s="6"/>
      <x:c r="F4" s="6"/>
      <x:c r="G4" s="6"/>
    </x:row>
    <x:row r="6" ht="15" hidden="0" customHeight="1">
      <x:c r="A6" s="22" t="str">
        <x:v>Stakeholder</x:v>
      </x:c>
      <x:c r="B6" s="22" t="str">
        <x:v>Papel na cadeia</x:v>
      </x:c>
      <x:c r="C6" s="22" t="str">
        <x:v>Contato com o problema</x:v>
      </x:c>
      <x:c r="D6" s="22" t="str">
        <x:v>Impacto observado ou provável</x:v>
      </x:c>
      <x:c r="E6" s="22" t="str">
        <x:v>Decisão que influencia</x:v>
      </x:c>
      <x:c r="F6" s="22" t="str">
        <x:v>Base</x:v>
      </x:c>
      <x:c r="G6" s="22" t="str">
        <x:v>Status</x:v>
      </x:c>
    </x:row>
    <x:row r="7" ht="15" hidden="0" customHeight="1">
      <x:c r="A7" s="18" t="str">
        <x:v>Distribuidor</x:v>
      </x:c>
      <x:c r="B7" s="18" t="str">
        <x:v>Expede, transporta e responde pela entrega</x:v>
      </x:c>
      <x:c r="C7" s="18" t="str">
        <x:v>Associa avarias ao transporte e absorve reposição/nova logística</x:v>
      </x:c>
      <x:c r="D7" s="18" t="str">
        <x:v>Custo, prazo e relacionamento com cliente</x:v>
      </x:c>
      <x:c r="E7" s="18" t="str">
        <x:v>Proteção, unitização, manuseio e política de entrega</x:v>
      </x:c>
      <x:c r="F7" s="18" t="str">
        <x:v>E-03</x:v>
      </x:c>
      <x:c r="G7" s="18" t="str">
        <x:v>Confirmado no campo</x:v>
      </x:c>
    </x:row>
    <x:row r="8" ht="15" hidden="0" customHeight="1">
      <x:c r="A8" s="18" t="str">
        <x:v>Trabalhador de descarga/movimentação</x:v>
      </x:c>
      <x:c r="B8" s="18" t="str">
        <x:v>Manipula as unidades na entrega e dentro da obra</x:v>
      </x:c>
      <x:c r="C8" s="18" t="str">
        <x:v>Pode enfrentar quedas, trincas e fragmentos</x:v>
      </x:c>
      <x:c r="D8" s="18" t="str">
        <x:v>Segurança, esforço e tempo</x:v>
      </x:c>
      <x:c r="E8" s="18" t="str">
        <x:v>Método de movimentação e conferência</x:v>
      </x:c>
      <x:c r="F8" s="18" t="str">
        <x:v>E-04</x:v>
      </x:c>
      <x:c r="G8" s="18" t="str">
        <x:v>Confirmado no campo</x:v>
      </x:c>
    </x:row>
    <x:row r="9" ht="15" hidden="0" customHeight="1">
      <x:c r="A9" s="18" t="str">
        <x:v>Responsável pela obra</x:v>
      </x:c>
      <x:c r="B9" s="18" t="str">
        <x:v>Planeja recebimento e acesso ao local</x:v>
      </x:c>
      <x:c r="C9" s="18" t="str">
        <x:v>Coordena descarga, armazenamento e instalação</x:v>
      </x:c>
      <x:c r="D9" s="18" t="str">
        <x:v>Atraso, retrabalho e fluxo da obra</x:v>
      </x:c>
      <x:c r="E9" s="18" t="str">
        <x:v>Janela de entrega e condições de acesso</x:v>
      </x:c>
      <x:c r="F9" s="18" t="str">
        <x:v>E-02/E-05</x:v>
      </x:c>
      <x:c r="G9" s="18" t="str">
        <x:v>A aprofundar</x:v>
      </x:c>
    </x:row>
    <x:row r="10" ht="15" hidden="0" customHeight="1">
      <x:c r="A10" s="18" t="str">
        <x:v>Instalador</x:v>
      </x:c>
      <x:c r="B10" s="18" t="str">
        <x:v>Confere e instala a louça</x:v>
      </x:c>
      <x:c r="C10" s="18" t="str">
        <x:v>Pode identificar dano latente na abertura/instalação</x:v>
      </x:c>
      <x:c r="D10" s="18" t="str">
        <x:v>Retrabalho e risco de corte</x:v>
      </x:c>
      <x:c r="E10" s="18" t="str">
        <x:v>Critérios de inspeção e aceitação</x:v>
      </x:c>
      <x:c r="F10" s="18" t="str">
        <x:v>E-05</x:v>
      </x:c>
      <x:c r="G10" s="18" t="str">
        <x:v>A aprofundar</x:v>
      </x:c>
    </x:row>
    <x:row r="11" ht="15" hidden="0" customHeight="1">
      <x:c r="A11" s="18" t="str">
        <x:v>Fabricante</x:v>
      </x:c>
      <x:c r="B11" s="18" t="str">
        <x:v>Projeta produto e embalagem primária</x:v>
      </x:c>
      <x:c r="C11" s="18" t="str">
        <x:v>Pode receber devoluções e requisitos logísticos</x:v>
      </x:c>
      <x:c r="D11" s="18" t="str">
        <x:v>Qualidade, custo e reputação</x:v>
      </x:c>
      <x:c r="E11" s="18" t="str">
        <x:v>Projeto da embalagem e especificações</x:v>
      </x:c>
      <x:c r="F11" s="18" t="str">
        <x:v>E-01/E-07</x:v>
      </x:c>
      <x:c r="G11" s="18" t="str">
        <x:v>Hipótese a validar</x:v>
      </x:c>
    </x:row>
    <x:row r="12" ht="15" hidden="0" customHeight="1">
      <x:c r="A12" s="18" t="str">
        <x:v>Comprador/cliente final</x:v>
      </x:c>
      <x:c r="B12" s="18" t="str">
        <x:v>Compra a louça ou contrata a obra</x:v>
      </x:c>
      <x:c r="C12" s="18" t="str">
        <x:v>Recebe atraso ou troca quando há avaria</x:v>
      </x:c>
      <x:c r="D12" s="18" t="str">
        <x:v>Prazo, confiança e custo indireto</x:v>
      </x:c>
      <x:c r="E12" s="18" t="str">
        <x:v>Aceitação e disposição a pagar por proteção</x:v>
      </x:c>
      <x:c r="F12" s="18" t="str">
        <x:v>E-05</x:v>
      </x:c>
      <x:c r="G12" s="18" t="str">
        <x:v>Hipótese a validar</x:v>
      </x:c>
    </x:row>
  </x:sheetData>
  <x:mergeCells>
    <x:mergeCell ref="A2:G2"/>
    <x:mergeCell ref="A4:G4"/>
  </x:mergeCells>
  <x:dataValidations count="1">
    <x:dataValidation type="list" sqref="G7:G12">
      <x:formula1>"Confirmado no campo,A aprofundar,Hipótese a validar"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63E6C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0" hidden="0" customWidth="1"/>
    <x:col min="2" max="2" width="48" hidden="0" customWidth="1"/>
    <x:col min="3" max="3" width="20" hidden="0" customWidth="1"/>
    <x:col min="4" max="4" width="50" hidden="0" customWidth="1"/>
    <x:col min="5" max="5" width="34" hidden="0" customWidth="1"/>
    <x:col min="6" max="6" width="34" hidden="0" customWidth="1"/>
  </x:cols>
  <x:sheetData>
    <x:row r="2" ht="30" customHeight="1">
      <x:c r="A2" s="2" t="str">
        <x:v>Ciclo de vida operacional e clientes</x:v>
      </x:c>
      <x:c r="B2" s="2"/>
      <x:c r="C2" s="2"/>
      <x:c r="D2" s="2"/>
      <x:c r="E2" s="2"/>
      <x:c r="F2" s="2"/>
    </x:row>
    <x:row r="3">
      <x:c r="A3" s="3"/>
      <x:c r="B3" s="3"/>
      <x:c r="C3" s="3"/>
      <x:c r="D3" s="3"/>
      <x:c r="E3" s="3"/>
      <x:c r="F3" s="3"/>
    </x:row>
    <x:row r="4" ht="34" customHeight="1">
      <x:c r="A4" s="6" t="str">
        <x:v>Ciclo operacional da solução a ser desenvolvida, sob estratégia Assemble to Order e em regime retornável: cada unidade percorre o trecho distribuidor–obra–distribuidor diversas vezes antes do descarte.</x:v>
      </x:c>
      <x:c r="B4" s="6"/>
      <x:c r="C4" s="6"/>
      <x:c r="D4" s="6"/>
      <x:c r="E4" s="6"/>
      <x:c r="F4" s="6"/>
    </x:row>
    <x:row r="6" ht="15" hidden="0" customHeight="1">
      <x:c r="A6" s="22" t="str">
        <x:v>Fase do ciclo operacional</x:v>
      </x:c>
      <x:c r="B6" s="22" t="str">
        <x:v>Atores</x:v>
      </x:c>
      <x:c r="C6" s="22" t="str">
        <x:v>Tipo de cliente</x:v>
      </x:c>
      <x:c r="D6" s="22" t="str">
        <x:v>Resultado da fase</x:v>
      </x:c>
      <x:c r="E6" s="22" t="str">
        <x:v>Risco associado</x:v>
      </x:c>
      <x:c r="F6" s="22" t="str">
        <x:v>Método de coleta previsto</x:v>
      </x:c>
    </x:row>
    <x:row r="7" ht="15" hidden="0" customHeight="1">
      <x:c r="A7" s="18" t="str">
        <x:v>Fornecimento</x:v>
      </x:c>
      <x:c r="B7" s="18" t="str">
        <x:v>Fornecedor; compras e qualidade de fornecedores</x:v>
      </x:c>
      <x:c r="C7" s="18" t="str">
        <x:v>Interno</x:v>
      </x:c>
      <x:c r="D7" s="18" t="str">
        <x:v>Insumos disponíveis conforme pedido e critérios de recebimento</x:v>
      </x:c>
      <x:c r="E7" s="18" t="str">
        <x:v>Insumo fora de especificação</x:v>
      </x:c>
      <x:c r="F7" s="18" t="str">
        <x:v>Guia de questões (produção)</x:v>
      </x:c>
    </x:row>
    <x:row r="8" ht="15" hidden="0" customHeight="1">
      <x:c r="A8" s="18" t="str">
        <x:v>Recebimento de insumos</x:v>
      </x:c>
      <x:c r="B8" s="18" t="str">
        <x:v>Recebimento, controle de qualidade e almoxarifado próprios</x:v>
      </x:c>
      <x:c r="C8" s="18" t="str">
        <x:v>Interno</x:v>
      </x:c>
      <x:c r="D8" s="18" t="str">
        <x:v>Itens aprovados, identificados e disponíveis para produção</x:v>
      </x:c>
      <x:c r="E8" s="18" t="str">
        <x:v>Dano e perda de rastreabilidade</x:v>
      </x:c>
      <x:c r="F8" s="18" t="str">
        <x:v>Guia de questões (produção)</x:v>
      </x:c>
    </x:row>
    <x:row r="9" ht="15" hidden="0" customHeight="1">
      <x:c r="A9" s="18" t="str">
        <x:v>Produção própria</x:v>
      </x:c>
      <x:c r="B9" s="18" t="str">
        <x:v>Planejamento e controle da produção, operadores e qualidade</x:v>
      </x:c>
      <x:c r="C9" s="18" t="str">
        <x:v>Interno</x:v>
      </x:c>
      <x:c r="D9" s="18" t="str">
        <x:v>Componentes conformes e rastreáveis</x:v>
      </x:c>
      <x:c r="E9" s="18" t="str">
        <x:v>Retrabalho e desperdício</x:v>
      </x:c>
      <x:c r="F9" s="18" t="str">
        <x:v>Guia de questões (produção)</x:v>
      </x:c>
    </x:row>
    <x:row r="10" ht="15" hidden="0" customHeight="1">
      <x:c r="A10" s="18" t="str">
        <x:v>Estoque intermediário</x:v>
      </x:c>
      <x:c r="B10" s="18" t="str">
        <x:v>Almoxarifado e planejamento da produção</x:v>
      </x:c>
      <x:c r="C10" s="18" t="str">
        <x:v>Interno</x:v>
      </x:c>
      <x:c r="D10" s="18" t="str">
        <x:v>Componentes preservados e disponíveis para o ATO</x:v>
      </x:c>
      <x:c r="E10" s="18" t="str">
        <x:v>Deterioração e ruptura de estoque</x:v>
      </x:c>
      <x:c r="F10" s="18" t="str">
        <x:v>Guia de questões (produção)</x:v>
      </x:c>
    </x:row>
    <x:row r="11" ht="15" hidden="0" customHeight="1">
      <x:c r="A11" s="18" t="str">
        <x:v>Pedido e configuração</x:v>
      </x:c>
      <x:c r="B11" s="18" t="str">
        <x:v>Comercial, atendimento, planejamento e comprador do distribuidor</x:v>
      </x:c>
      <x:c r="C11" s="18" t="str">
        <x:v>Interno/Intermediário</x:v>
      </x:c>
      <x:c r="D11" s="18" t="str">
        <x:v>Ordem de montagem correta e liberada</x:v>
      </x:c>
      <x:c r="E11" s="18" t="str">
        <x:v>Configuração incorreta</x:v>
      </x:c>
      <x:c r="F11" s="18" t="str">
        <x:v>Guia de questões (clientes e mercado)</x:v>
      </x:c>
    </x:row>
    <x:row r="12" ht="15" hidden="0" customHeight="1">
      <x:c r="A12" s="18" t="str">
        <x:v>Montagem final e inspeção</x:v>
      </x:c>
      <x:c r="B12" s="18" t="str">
        <x:v>Planejamento, separação, montadores e controle de qualidade</x:v>
      </x:c>
      <x:c r="C12" s="18" t="str">
        <x:v>Interno</x:v>
      </x:c>
      <x:c r="D12" s="18" t="str">
        <x:v>Produto configurado, inspecionado e liberado</x:v>
      </x:c>
      <x:c r="E12" s="18" t="str">
        <x:v>Montagem incorreta e liberação indevida</x:v>
      </x:c>
      <x:c r="F12" s="18" t="str">
        <x:v>Guia de questões (produção)</x:v>
      </x:c>
    </x:row>
    <x:row r="13" ht="15" hidden="0" customHeight="1">
      <x:c r="A13" s="18" t="str">
        <x:v>Expedição ao distribuidor</x:v>
      </x:c>
      <x:c r="B13" s="18" t="str">
        <x:v>Expedição, logística e transportador</x:v>
      </x:c>
      <x:c r="C13" s="18" t="str">
        <x:v>Interno</x:v>
      </x:c>
      <x:c r="D13" s="18" t="str">
        <x:v>Produto entregue e conferido pelo distribuidor</x:v>
      </x:c>
      <x:c r="E13" s="18" t="str">
        <x:v>Dano ao próprio produto e atraso</x:v>
      </x:c>
      <x:c r="F13" s="18" t="str">
        <x:v>Guia de questões (produção)</x:v>
      </x:c>
    </x:row>
    <x:row r="14" ht="15" hidden="0" customHeight="1">
      <x:c r="A14" s="18" t="str">
        <x:v>Recebimento no distribuidor</x:v>
      </x:c>
      <x:c r="B14" s="18" t="str">
        <x:v>Recebimento e almoxarifado do distribuidor</x:v>
      </x:c>
      <x:c r="C14" s="18" t="str">
        <x:v>Intermediário</x:v>
      </x:c>
      <x:c r="D14" s="18" t="str">
        <x:v>Produto disponível e identificado para uso</x:v>
      </x:c>
      <x:c r="E14" s="18" t="str">
        <x:v>Ocupação de espaço e conferência lenta</x:v>
      </x:c>
      <x:c r="F14" s="18" t="str">
        <x:v>Entrevista com o distribuidor</x:v>
      </x:c>
    </x:row>
    <x:row r="15" ht="15" hidden="0" customHeight="1">
      <x:c r="A15" s="18" t="str">
        <x:v>Uso na produção do distribuidor</x:v>
      </x:c>
      <x:c r="B15" s="18" t="str">
        <x:v>Planejamento, supervisão e operadores do distribuidor</x:v>
      </x:c>
      <x:c r="C15" s="18" t="str">
        <x:v>Externo</x:v>
      </x:c>
      <x:c r="D15" s="18" t="str">
        <x:v>Louça preparada e protegida para expedição</x:v>
      </x:c>
      <x:c r="E15" s="18" t="str">
        <x:v>Perda de ritmo e uso incorreto</x:v>
      </x:c>
      <x:c r="F15" s="18" t="str">
        <x:v>Observação e entrevista (E-03)</x:v>
      </x:c>
    </x:row>
    <x:row r="16" ht="15" hidden="0" customHeight="1">
      <x:c r="A16" s="18" t="str">
        <x:v>Envio à obra</x:v>
      </x:c>
      <x:c r="B16" s="18" t="str">
        <x:v>Expedição do distribuidor, motoristas, ajudantes e movimentadores</x:v>
      </x:c>
      <x:c r="C16" s="18" t="str">
        <x:v>Intermediário/Externo</x:v>
      </x:c>
      <x:c r="D16" s="18" t="str">
        <x:v>Conjunto entregue no ponto de recebimento da obra</x:v>
      </x:c>
      <x:c r="E16" s="18" t="str">
        <x:v>Impacto, vibração, tombamento e esforço manual</x:v>
      </x:c>
      <x:c r="F16" s="18" t="str">
        <x:v>Acompanhamento de rota (E-03, E-04)</x:v>
      </x:c>
    </x:row>
    <x:row r="17" ht="15" hidden="0" customHeight="1">
      <x:c r="A17" s="18" t="str">
        <x:v>Recebimento e movimentação na obra</x:v>
      </x:c>
      <x:c r="B17" s="18" t="str">
        <x:v>Almoxarife, auxiliares de almoxarifado e movimentadores da obra</x:v>
      </x:c>
      <x:c r="C17" s="18" t="str">
        <x:v>Externo</x:v>
      </x:c>
      <x:c r="D17" s="18" t="str">
        <x:v>Louça disponibilizada sem avaria e produto separado após o uso</x:v>
      </x:c>
      <x:c r="E17" s="18" t="str">
        <x:v>Queda, dano oculto e aresta cortante</x:v>
      </x:c>
      <x:c r="F17" s="18" t="str">
        <x:v>Observação e entrevista (E-02, E-04)</x:v>
      </x:c>
    </x:row>
    <x:row r="18" ht="24" hidden="0" customHeight="1">
      <x:c r="A18" s="18" t="str">
        <x:v>Coleta e retorno</x:v>
      </x:c>
      <x:c r="B18" s="18" t="str">
        <x:v>Distribuidor, equipe de logística reversa, motorista, ajudantes e almoxarifado</x:v>
      </x:c>
      <x:c r="C18" s="18" t="str">
        <x:v>Externo</x:v>
      </x:c>
      <x:c r="D18" s="18" t="str">
        <x:v>Produto retornado e inspecionado, disponível para o próximo ciclo ou segregado para descarte</x:v>
      </x:c>
      <x:c r="E18" s="18" t="str">
        <x:v>Perda de unidades, desgaste acumulado e custo de coleta</x:v>
      </x:c>
      <x:c r="F18" s="18" t="str">
        <x:v>Entrevista com o distribuidor</x:v>
      </x:c>
    </x:row>
    <x:row r="19" ht="24" hidden="0" customHeight="1">
      <x:c r="A19" s="18" t="str">
        <x:v>Descarte</x:v>
      </x:c>
      <x:c r="B19" s="18" t="str">
        <x:v>Distribuidor, gestor de resíduos, transportador e destinador</x:v>
      </x:c>
      <x:c r="C19" s="18" t="str">
        <x:v>Externo</x:v>
      </x:c>
      <x:c r="D19" s="18" t="str">
        <x:v>Unidade em fim de vida útil retirada de circulação e descartada de forma rastreável</x:v>
      </x:c>
      <x:c r="E19" s="18" t="str">
        <x:v>Destinação inadequada e contaminação</x:v>
      </x:c>
      <x:c r="F19" s="18" t="str">
        <x:v>Revisão normativa</x:v>
      </x:c>
    </x:row>
  </x:sheetData>
  <x:mergeCells>
    <x:mergeCell ref="A2:F2"/>
    <x:mergeCell ref="A4:F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C89B3C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9" hidden="0" customWidth="1"/>
    <x:col min="2" max="2" width="28" hidden="0" customWidth="1"/>
    <x:col min="3" max="3" width="16" hidden="0" customWidth="1"/>
    <x:col min="4" max="4" width="44" hidden="0" customWidth="1"/>
    <x:col min="5" max="5" width="64" hidden="0" customWidth="1"/>
    <x:col min="6" max="6" width="28" hidden="0" customWidth="1"/>
  </x:cols>
  <x:sheetData>
    <x:row r="2" ht="30" customHeight="1">
      <x:c r="A2" s="2" t="str">
        <x:v>Necessidades consolidadas dos clientes</x:v>
      </x:c>
      <x:c r="B2" s="2"/>
      <x:c r="C2" s="2"/>
      <x:c r="D2" s="2"/>
      <x:c r="E2" s="2"/>
      <x:c r="F2" s="2"/>
    </x:row>
    <x:row r="3">
      <x:c r="A3" s="3"/>
      <x:c r="B3" s="3"/>
      <x:c r="C3" s="3"/>
      <x:c r="D3" s="3"/>
      <x:c r="E3" s="3"/>
      <x:c r="F3" s="3"/>
    </x:row>
    <x:row r="4" ht="34" customHeight="1">
      <x:c r="A4" s="6" t="str">
        <x:v>Necessidades depuradas a partir das tabelas por fase do relatório, organizadas por fase do ciclo de vida, tipo de cliente e atributo predominante. Entrada direta da matriz de atributos.</x:v>
      </x:c>
      <x:c r="B4" s="6"/>
      <x:c r="C4" s="6"/>
      <x:c r="D4" s="6"/>
      <x:c r="E4" s="6"/>
      <x:c r="F4" s="6"/>
    </x:row>
    <x:row r="6" ht="15" hidden="0" customHeight="1">
      <x:c r="A6" s="22" t="str">
        <x:v>ID</x:v>
      </x:c>
      <x:c r="B6" s="22" t="str">
        <x:v>Fase do ciclo de vida</x:v>
      </x:c>
      <x:c r="C6" s="22" t="str">
        <x:v>Tipo de cliente</x:v>
      </x:c>
      <x:c r="D6" s="22" t="str">
        <x:v>Stakeholder</x:v>
      </x:c>
      <x:c r="E6" s="22" t="str">
        <x:v>Necessidade consolidada</x:v>
      </x:c>
      <x:c r="F6" s="22" t="str">
        <x:v>Atributo predominante</x:v>
      </x:c>
    </x:row>
    <x:row r="7" ht="15" hidden="0" customHeight="1">
      <x:c r="A7" s="18" t="str">
        <x:v>N-01</x:v>
      </x:c>
      <x:c r="B7" s="18" t="str">
        <x:v>Fornecimento</x:v>
      </x:c>
      <x:c r="C7" s="18" t="str">
        <x:v>Interno</x:v>
      </x:c>
      <x:c r="D7" s="18" t="str">
        <x:v>Fornecedor de materiais e componentes</x:v>
      </x:c>
      <x:c r="E7" s="18" t="str">
        <x:v>Receber especificações e critérios de aceitação claros</x:v>
      </x:c>
      <x:c r="F7" s="18" t="str">
        <x:v>Confiabilidade</x:v>
      </x:c>
    </x:row>
    <x:row r="8" ht="15" hidden="0" customHeight="1">
      <x:c r="A8" s="18" t="str">
        <x:v>N-02</x:v>
      </x:c>
      <x:c r="B8" s="18" t="str">
        <x:v>Fornecimento</x:v>
      </x:c>
      <x:c r="C8" s="18" t="str">
        <x:v>Interno</x:v>
      </x:c>
      <x:c r="D8" s="18" t="str">
        <x:v>Fornecedor; compras e qualidade de fornecedores</x:v>
      </x:c>
      <x:c r="E8" s="18" t="str">
        <x:v>Receber previsões e pedidos com antecedência, em lotes economicamente viáveis</x:v>
      </x:c>
      <x:c r="F8" s="18" t="str">
        <x:v>Econômico</x:v>
      </x:c>
    </x:row>
    <x:row r="9" ht="15" hidden="0" customHeight="1">
      <x:c r="A9" s="18" t="str">
        <x:v>N-03</x:v>
      </x:c>
      <x:c r="B9" s="18" t="str">
        <x:v>Fornecimento</x:v>
      </x:c>
      <x:c r="C9" s="18" t="str">
        <x:v>Interno</x:v>
      </x:c>
      <x:c r="D9" s="18" t="str">
        <x:v>Fornecedor de materiais e componentes</x:v>
      </x:c>
      <x:c r="E9" s="18" t="str">
        <x:v>Fornecer itens padronizados e repetíveis</x:v>
      </x:c>
      <x:c r="F9" s="18" t="str">
        <x:v>Modularidade</x:v>
      </x:c>
    </x:row>
    <x:row r="10" ht="15" hidden="0" customHeight="1">
      <x:c r="A10" s="18" t="str">
        <x:v>N-04</x:v>
      </x:c>
      <x:c r="B10" s="18" t="str">
        <x:v>Recebimento de insumos</x:v>
      </x:c>
      <x:c r="C10" s="18" t="str">
        <x:v>Interno</x:v>
      </x:c>
      <x:c r="D10" s="18" t="str">
        <x:v>Recebimento e almoxarifado próprios</x:v>
      </x:c>
      <x:c r="E10" s="18" t="str">
        <x:v>Conferir e identificar os itens recebidos rapidamente</x:v>
      </x:c>
      <x:c r="F10" s="18" t="str">
        <x:v>Eficiência operacional</x:v>
      </x:c>
    </x:row>
    <x:row r="11" ht="15" hidden="0" customHeight="1">
      <x:c r="A11" s="18" t="str">
        <x:v>N-05</x:v>
      </x:c>
      <x:c r="B11" s="18" t="str">
        <x:v>Recebimento de insumos</x:v>
      </x:c>
      <x:c r="C11" s="18" t="str">
        <x:v>Interno</x:v>
      </x:c>
      <x:c r="D11" s="18" t="str">
        <x:v>Recebimento e almoxarifado próprios</x:v>
      </x:c>
      <x:c r="E11" s="18" t="str">
        <x:v>Armazenar os insumos sem danos e com baixo uso de espaço</x:v>
      </x:c>
      <x:c r="F11" s="18" t="str">
        <x:v>Eficiência operacional</x:v>
      </x:c>
    </x:row>
    <x:row r="12" ht="15" hidden="0" customHeight="1">
      <x:c r="A12" s="18" t="str">
        <x:v>N-06</x:v>
      </x:c>
      <x:c r="B12" s="18" t="str">
        <x:v>Recebimento de insumos</x:v>
      </x:c>
      <x:c r="C12" s="18" t="str">
        <x:v>Interno</x:v>
      </x:c>
      <x:c r="D12" s="18" t="str">
        <x:v>Compras e qualidade de fornecedores</x:v>
      </x:c>
      <x:c r="E12" s="18" t="str">
        <x:v>Rastrear origem e lote dos insumos</x:v>
      </x:c>
      <x:c r="F12" s="18" t="str">
        <x:v>Confiabilidade</x:v>
      </x:c>
    </x:row>
    <x:row r="13" ht="15" hidden="0" customHeight="1">
      <x:c r="A13" s="18" t="str">
        <x:v>N-07</x:v>
      </x:c>
      <x:c r="B13" s="18" t="str">
        <x:v>Produção própria</x:v>
      </x:c>
      <x:c r="C13" s="18" t="str">
        <x:v>Interno</x:v>
      </x:c>
      <x:c r="D13" s="18" t="str">
        <x:v>Planejamento, operadores e supervisão da produção</x:v>
      </x:c>
      <x:c r="E13" s="18" t="str">
        <x:v>Produzir com processo repetível, seguro e economicamente viável</x:v>
      </x:c>
      <x:c r="F13" s="18" t="str">
        <x:v>Confiabilidade</x:v>
      </x:c>
    </x:row>
    <x:row r="14" ht="15" hidden="0" customHeight="1">
      <x:c r="A14" s="18" t="str">
        <x:v>N-08</x:v>
      </x:c>
      <x:c r="B14" s="18" t="str">
        <x:v>Produção própria</x:v>
      </x:c>
      <x:c r="C14" s="18" t="str">
        <x:v>Interno</x:v>
      </x:c>
      <x:c r="D14" s="18" t="str">
        <x:v>Planejamento, operadores e supervisão da produção</x:v>
      </x:c>
      <x:c r="E14" s="18" t="str">
        <x:v>Reduzir esperas, retrabalho e desperdício na produção</x:v>
      </x:c>
      <x:c r="F14" s="18" t="str">
        <x:v>Econômico</x:v>
      </x:c>
    </x:row>
    <x:row r="15" ht="15" hidden="0" customHeight="1">
      <x:c r="A15" s="18" t="str">
        <x:v>N-09</x:v>
      </x:c>
      <x:c r="B15" s="18" t="str">
        <x:v>Estoque intermediário</x:v>
      </x:c>
      <x:c r="C15" s="18" t="str">
        <x:v>Interno</x:v>
      </x:c>
      <x:c r="D15" s="18" t="str">
        <x:v>Almoxarifado e planejamento da produção</x:v>
      </x:c>
      <x:c r="E15" s="18" t="str">
        <x:v>Preservar e identificar os componentes produzidos</x:v>
      </x:c>
      <x:c r="F15" s="18" t="str">
        <x:v>Durabilidade e robustez</x:v>
      </x:c>
    </x:row>
    <x:row r="16" ht="15" hidden="0" customHeight="1">
      <x:c r="A16" s="18" t="str">
        <x:v>N-10</x:v>
      </x:c>
      <x:c r="B16" s="18" t="str">
        <x:v>Estoque intermediário</x:v>
      </x:c>
      <x:c r="C16" s="18" t="str">
        <x:v>Interno</x:v>
      </x:c>
      <x:c r="D16" s="18" t="str">
        <x:v>Almoxarifado e planejamento da produção</x:v>
      </x:c>
      <x:c r="E16" s="18" t="str">
        <x:v>Visualizar a disponibilidade por configuração e separar os itens com facilidade</x:v>
      </x:c>
      <x:c r="F16" s="18" t="str">
        <x:v>Modularidade</x:v>
      </x:c>
    </x:row>
    <x:row r="17" ht="15" hidden="0" customHeight="1">
      <x:c r="A17" s="18" t="str">
        <x:v>N-11</x:v>
      </x:c>
      <x:c r="B17" s="18" t="str">
        <x:v>Pedido e configuração</x:v>
      </x:c>
      <x:c r="C17" s="18" t="str">
        <x:v>Interno</x:v>
      </x:c>
      <x:c r="D17" s="18" t="str">
        <x:v>Comercial, atendimento e planejamento do pedido</x:v>
      </x:c>
      <x:c r="E17" s="18" t="str">
        <x:v>Selecionar apenas configurações aprovadas, sem ambiguidade</x:v>
      </x:c>
      <x:c r="F17" s="18" t="str">
        <x:v>Modularidade</x:v>
      </x:c>
    </x:row>
    <x:row r="18" ht="15" hidden="0" customHeight="1">
      <x:c r="A18" s="18" t="str">
        <x:v>N-12</x:v>
      </x:c>
      <x:c r="B18" s="18" t="str">
        <x:v>Pedido e configuração</x:v>
      </x:c>
      <x:c r="C18" s="18" t="str">
        <x:v>Interno</x:v>
      </x:c>
      <x:c r="D18" s="18" t="str">
        <x:v>Comercial, atendimento e planejamento do pedido</x:v>
      </x:c>
      <x:c r="E18" s="18" t="str">
        <x:v>Comunicar preço e prazo com clareza e responder rapidamente a alterações</x:v>
      </x:c>
      <x:c r="F18" s="18" t="str">
        <x:v>Econômico</x:v>
      </x:c>
    </x:row>
    <x:row r="19" ht="15" hidden="0" customHeight="1">
      <x:c r="A19" s="18" t="str">
        <x:v>N-13</x:v>
      </x:c>
      <x:c r="B19" s="18" t="str">
        <x:v>Montagem final e inspeção</x:v>
      </x:c>
      <x:c r="C19" s="18" t="str">
        <x:v>Interno</x:v>
      </x:c>
      <x:c r="D19" s="18" t="str">
        <x:v>Separadores e montadores</x:v>
      </x:c>
      <x:c r="E19" s="18" t="str">
        <x:v>Realizar montagem rápida, intuitiva e ergonomicamente segura</x:v>
      </x:c>
      <x:c r="F19" s="18" t="str">
        <x:v>Eficiência operacional</x:v>
      </x:c>
    </x:row>
    <x:row r="20" ht="15" hidden="0" customHeight="1">
      <x:c r="A20" s="18" t="str">
        <x:v>N-14</x:v>
      </x:c>
      <x:c r="B20" s="18" t="str">
        <x:v>Montagem final e inspeção</x:v>
      </x:c>
      <x:c r="C20" s="18" t="str">
        <x:v>Interno</x:v>
      </x:c>
      <x:c r="D20" s="18" t="str">
        <x:v>Separadores e montadores</x:v>
      </x:c>
      <x:c r="E20" s="18" t="str">
        <x:v>Reconhecer visualmente a conclusão correta da montagem</x:v>
      </x:c>
      <x:c r="F20" s="18" t="str">
        <x:v>Funcionamento</x:v>
      </x:c>
    </x:row>
    <x:row r="21" ht="15" hidden="0" customHeight="1">
      <x:c r="A21" s="18" t="str">
        <x:v>N-15</x:v>
      </x:c>
      <x:c r="B21" s="18" t="str">
        <x:v>Montagem final e inspeção</x:v>
      </x:c>
      <x:c r="C21" s="18" t="str">
        <x:v>Interno</x:v>
      </x:c>
      <x:c r="D21" s="18" t="str">
        <x:v>Controle de qualidade</x:v>
      </x:c>
      <x:c r="E21" s="18" t="str">
        <x:v>Dispor de critérios objetivos de aceitação e bloquear unidades não conformes</x:v>
      </x:c>
      <x:c r="F21" s="18" t="str">
        <x:v>Confiabilidade</x:v>
      </x:c>
    </x:row>
    <x:row r="22" ht="15" hidden="0" customHeight="1">
      <x:c r="A22" s="18" t="str">
        <x:v>N-16</x:v>
      </x:c>
      <x:c r="B22" s="18" t="str">
        <x:v>Montagem final e inspeção</x:v>
      </x:c>
      <x:c r="C22" s="18" t="str">
        <x:v>Interno</x:v>
      </x:c>
      <x:c r="D22" s="18" t="str">
        <x:v>Controle de qualidade</x:v>
      </x:c>
      <x:c r="E22" s="18" t="str">
        <x:v>Rastrear configuração, lote e resultado da inspeção</x:v>
      </x:c>
      <x:c r="F22" s="18" t="str">
        <x:v>Sustentabilidade e conformidade</x:v>
      </x:c>
    </x:row>
    <x:row r="23" ht="15" hidden="0" customHeight="1">
      <x:c r="A23" s="18" t="str">
        <x:v>N-17</x:v>
      </x:c>
      <x:c r="B23" s="18" t="str">
        <x:v>Expedição ao distribuidor</x:v>
      </x:c>
      <x:c r="C23" s="18" t="str">
        <x:v>Interno</x:v>
      </x:c>
      <x:c r="D23" s="18" t="str">
        <x:v>Almoxarifado, expedição e logística da empresa produtora</x:v>
      </x:c>
      <x:c r="E23" s="18" t="str">
        <x:v>Movimentar, unitizar e carregar com segurança</x:v>
      </x:c>
      <x:c r="F23" s="18" t="str">
        <x:v>Ergonomia e segurança</x:v>
      </x:c>
    </x:row>
    <x:row r="24" ht="15" hidden="0" customHeight="1">
      <x:c r="A24" s="18" t="str">
        <x:v>N-18</x:v>
      </x:c>
      <x:c r="B24" s="18" t="str">
        <x:v>Expedição ao distribuidor</x:v>
      </x:c>
      <x:c r="C24" s="18" t="str">
        <x:v>Interno</x:v>
      </x:c>
      <x:c r="D24" s="18" t="str">
        <x:v>Almoxarifado, expedição e logística da empresa produtora</x:v>
      </x:c>
      <x:c r="E24" s="18" t="str">
        <x:v>Aproveitar o espaço de armazenagem e de transporte</x:v>
      </x:c>
      <x:c r="F24" s="18" t="str">
        <x:v>Eficiência operacional</x:v>
      </x:c>
    </x:row>
    <x:row r="25" ht="15" hidden="0" customHeight="1">
      <x:c r="A25" s="18" t="str">
        <x:v>N-19</x:v>
      </x:c>
      <x:c r="B25" s="18" t="str">
        <x:v>Expedição ao distribuidor</x:v>
      </x:c>
      <x:c r="C25" s="18" t="str">
        <x:v>Interno</x:v>
      </x:c>
      <x:c r="D25" s="18" t="str">
        <x:v>Expedição, logística e transportador</x:v>
      </x:c>
      <x:c r="E25" s="18" t="str">
        <x:v>Entregar no prazo sem danificar o próprio produto</x:v>
      </x:c>
      <x:c r="F25" s="18" t="str">
        <x:v>Durabilidade e robustez</x:v>
      </x:c>
    </x:row>
    <x:row r="26" ht="15" hidden="0" customHeight="1">
      <x:c r="A26" s="18" t="str">
        <x:v>N-20</x:v>
      </x:c>
      <x:c r="B26" s="18" t="str">
        <x:v>Recebimento no distribuidor</x:v>
      </x:c>
      <x:c r="C26" s="18" t="str">
        <x:v>Intermediário</x:v>
      </x:c>
      <x:c r="D26" s="18" t="str">
        <x:v>Compras e planejamento do distribuidor</x:v>
      </x:c>
      <x:c r="E26" s="18" t="str">
        <x:v>Obter benefício econômico pela redução de avarias e reposições</x:v>
      </x:c>
      <x:c r="F26" s="18" t="str">
        <x:v>Econômico</x:v>
      </x:c>
    </x:row>
    <x:row r="27" ht="15" hidden="0" customHeight="1">
      <x:c r="A27" s="18" t="str">
        <x:v>N-21</x:v>
      </x:c>
      <x:c r="B27" s="18" t="str">
        <x:v>Recebimento no distribuidor</x:v>
      </x:c>
      <x:c r="C27" s="18" t="str">
        <x:v>Intermediário</x:v>
      </x:c>
      <x:c r="D27" s="18" t="str">
        <x:v>Recebimento e almoxarifado do distribuidor</x:v>
      </x:c>
      <x:c r="E27" s="18" t="str">
        <x:v>Receber fornecimento previsível, completo e conforme</x:v>
      </x:c>
      <x:c r="F27" s="18" t="str">
        <x:v>Confiabilidade</x:v>
      </x:c>
    </x:row>
    <x:row r="28" ht="15" hidden="0" customHeight="1">
      <x:c r="A28" s="18" t="str">
        <x:v>N-22</x:v>
      </x:c>
      <x:c r="B28" s="18" t="str">
        <x:v>Recebimento no distribuidor</x:v>
      </x:c>
      <x:c r="C28" s="18" t="str">
        <x:v>Intermediário</x:v>
      </x:c>
      <x:c r="D28" s="18" t="str">
        <x:v>Recebimento e almoxarifado do distribuidor</x:v>
      </x:c>
      <x:c r="E28" s="18" t="str">
        <x:v>Conferir, armazenar e disponibilizar o produto ocupando pouco espaço</x:v>
      </x:c>
      <x:c r="F28" s="18" t="str">
        <x:v>Eficiência operacional</x:v>
      </x:c>
    </x:row>
    <x:row r="29" ht="15" hidden="0" customHeight="1">
      <x:c r="A29" s="18" t="str">
        <x:v>N-23</x:v>
      </x:c>
      <x:c r="B29" s="18" t="str">
        <x:v>Uso na produção do distribuidor</x:v>
      </x:c>
      <x:c r="C29" s="18" t="str">
        <x:v>Externo</x:v>
      </x:c>
      <x:c r="D29" s="18" t="str">
        <x:v>Supervisores e operadores do distribuidor</x:v>
      </x:c>
      <x:c r="E29" s="18" t="str">
        <x:v>Integrar o produto ao processo existente sem reduzir o ritmo</x:v>
      </x:c>
      <x:c r="F29" s="18" t="str">
        <x:v>Eficiência operacional</x:v>
      </x:c>
    </x:row>
    <x:row r="30" ht="15" hidden="0" customHeight="1">
      <x:c r="A30" s="18" t="str">
        <x:v>N-24</x:v>
      </x:c>
      <x:c r="B30" s="18" t="str">
        <x:v>Uso na produção do distribuidor</x:v>
      </x:c>
      <x:c r="C30" s="18" t="str">
        <x:v>Externo</x:v>
      </x:c>
      <x:c r="D30" s="18" t="str">
        <x:v>Operadores do distribuidor</x:v>
      </x:c>
      <x:c r="E30" s="18" t="str">
        <x:v>Aprender e usar o produto com facilidade, sem treinamento longo</x:v>
      </x:c>
      <x:c r="F30" s="18" t="str">
        <x:v>Ergonomia e segurança</x:v>
      </x:c>
    </x:row>
    <x:row r="31" ht="15" hidden="0" customHeight="1">
      <x:c r="A31" s="18" t="str">
        <x:v>N-25</x:v>
      </x:c>
      <x:c r="B31" s="18" t="str">
        <x:v>Uso na produção do distribuidor</x:v>
      </x:c>
      <x:c r="C31" s="18" t="str">
        <x:v>Externo</x:v>
      </x:c>
      <x:c r="D31" s="18" t="str">
        <x:v>Supervisores e operadores do distribuidor</x:v>
      </x:c>
      <x:c r="E31" s="18" t="str">
        <x:v>Atender às variações relevantes de louça</x:v>
      </x:c>
      <x:c r="F31" s="18" t="str">
        <x:v>Funcionamento</x:v>
      </x:c>
    </x:row>
    <x:row r="32" ht="15" hidden="0" customHeight="1">
      <x:c r="A32" s="18" t="str">
        <x:v>N-26</x:v>
      </x:c>
      <x:c r="B32" s="18" t="str">
        <x:v>Uso na produção do distribuidor</x:v>
      </x:c>
      <x:c r="C32" s="18" t="str">
        <x:v>Externo</x:v>
      </x:c>
      <x:c r="D32" s="18" t="str">
        <x:v>Supervisores e operadores do distribuidor</x:v>
      </x:c>
      <x:c r="E32" s="18" t="str">
        <x:v>Proteger a louça contra impacto, vibração e atrito até a entrega</x:v>
      </x:c>
      <x:c r="F32" s="18" t="str">
        <x:v>Funcionamento</x:v>
      </x:c>
    </x:row>
    <x:row r="33" ht="15" hidden="0" customHeight="1">
      <x:c r="A33" s="18" t="str">
        <x:v>N-27</x:v>
      </x:c>
      <x:c r="B33" s="18" t="str">
        <x:v>Uso na produção do distribuidor</x:v>
      </x:c>
      <x:c r="C33" s="18" t="str">
        <x:v>Externo</x:v>
      </x:c>
      <x:c r="D33" s="18" t="str">
        <x:v>Operadores do distribuidor</x:v>
      </x:c>
      <x:c r="E33" s="18" t="str">
        <x:v>Confirmar visualmente o fechamento e o uso corretos</x:v>
      </x:c>
      <x:c r="F33" s="18" t="str">
        <x:v>Confiabilidade</x:v>
      </x:c>
    </x:row>
    <x:row r="34" ht="15" hidden="0" customHeight="1">
      <x:c r="A34" s="18" t="str">
        <x:v>N-28</x:v>
      </x:c>
      <x:c r="B34" s="18" t="str">
        <x:v>Uso na produção do distribuidor</x:v>
      </x:c>
      <x:c r="C34" s="18" t="str">
        <x:v>Externo</x:v>
      </x:c>
      <x:c r="D34" s="18" t="str">
        <x:v>Operadores do distribuidor</x:v>
      </x:c>
      <x:c r="E34" s="18" t="str">
        <x:v>Manipular o produto com segurança e ergonomia</x:v>
      </x:c>
      <x:c r="F34" s="18" t="str">
        <x:v>Ergonomia e segurança</x:v>
      </x:c>
    </x:row>
    <x:row r="35" ht="15" hidden="0" customHeight="1">
      <x:c r="A35" s="18" t="str">
        <x:v>N-29</x:v>
      </x:c>
      <x:c r="B35" s="18" t="str">
        <x:v>Envio à obra</x:v>
      </x:c>
      <x:c r="C35" s="18" t="str">
        <x:v>Intermediário</x:v>
      </x:c>
      <x:c r="D35" s="18" t="str">
        <x:v>Expedição e coordenação logística do distribuidor</x:v>
      </x:c>
      <x:c r="E35" s="18" t="str">
        <x:v>Compatibilizar o produto com armazenagem, veículo, carga e amarração</x:v>
      </x:c>
      <x:c r="F35" s="18" t="str">
        <x:v>Funcionamento</x:v>
      </x:c>
    </x:row>
    <x:row r="36" ht="15" hidden="0" customHeight="1">
      <x:c r="A36" s="18" t="str">
        <x:v>N-30</x:v>
      </x:c>
      <x:c r="B36" s="18" t="str">
        <x:v>Envio à obra</x:v>
      </x:c>
      <x:c r="C36" s="18" t="str">
        <x:v>Intermediário</x:v>
      </x:c>
      <x:c r="D36" s="18" t="str">
        <x:v>Expedição e coordenação logística do distribuidor</x:v>
      </x:c>
      <x:c r="E36" s="18" t="str">
        <x:v>Identificar conteúdo, destino e condição de retorno</x:v>
      </x:c>
      <x:c r="F36" s="18" t="str">
        <x:v>Sustentabilidade e conformidade</x:v>
      </x:c>
    </x:row>
    <x:row r="37" ht="15" hidden="0" customHeight="1">
      <x:c r="A37" s="18" t="str">
        <x:v>N-31</x:v>
      </x:c>
      <x:c r="B37" s="18" t="str">
        <x:v>Envio à obra</x:v>
      </x:c>
      <x:c r="C37" s="18" t="str">
        <x:v>Externo</x:v>
      </x:c>
      <x:c r="D37" s="18" t="str">
        <x:v>Motoristas, ajudantes e movimentadores</x:v>
      </x:c>
      <x:c r="E37" s="18" t="str">
        <x:v>Impedir deslocamento, tombamento ou queda durante o transporte</x:v>
      </x:c>
      <x:c r="F37" s="18" t="str">
        <x:v>Funcionamento</x:v>
      </x:c>
    </x:row>
    <x:row r="38" ht="15" hidden="0" customHeight="1">
      <x:c r="A38" s="18" t="str">
        <x:v>N-32</x:v>
      </x:c>
      <x:c r="B38" s="18" t="str">
        <x:v>Envio à obra</x:v>
      </x:c>
      <x:c r="C38" s="18" t="str">
        <x:v>Externo</x:v>
      </x:c>
      <x:c r="D38" s="18" t="str">
        <x:v>Motoristas, ajudantes e movimentadores</x:v>
      </x:c>
      <x:c r="E38" s="18" t="str">
        <x:v>Segurar, elevar, fixar e descarregar sem esforço excessivo nem posturas críticas</x:v>
      </x:c>
      <x:c r="F38" s="18" t="str">
        <x:v>Ergonomia e segurança</x:v>
      </x:c>
    </x:row>
    <x:row r="39" ht="15" hidden="0" customHeight="1">
      <x:c r="A39" s="18" t="str">
        <x:v>N-33</x:v>
      </x:c>
      <x:c r="B39" s="18" t="str">
        <x:v>Envio à obra</x:v>
      </x:c>
      <x:c r="C39" s="18" t="str">
        <x:v>Externo</x:v>
      </x:c>
      <x:c r="D39" s="18" t="str">
        <x:v>Motoristas, ajudantes e movimentadores</x:v>
      </x:c>
      <x:c r="E39" s="18" t="str">
        <x:v>Reconhecer instruções de manuseio e executar a operação com agilidade</x:v>
      </x:c>
      <x:c r="F39" s="18" t="str">
        <x:v>Ergonomia e segurança</x:v>
      </x:c>
    </x:row>
    <x:row r="40" ht="15" hidden="0" customHeight="1">
      <x:c r="A40" s="18" t="str">
        <x:v>N-34</x:v>
      </x:c>
      <x:c r="B40" s="18" t="str">
        <x:v>Recebimento e movimentação na obra</x:v>
      </x:c>
      <x:c r="C40" s="18" t="str">
        <x:v>Externo</x:v>
      </x:c>
      <x:c r="D40" s="18" t="str">
        <x:v>Almoxarife e auxiliares de almoxarifado da obra</x:v>
      </x:c>
      <x:c r="E40" s="18" t="str">
        <x:v>Conferir rapidamente a integridade da louça no recebimento</x:v>
      </x:c>
      <x:c r="F40" s="18" t="str">
        <x:v>Funcionamento</x:v>
      </x:c>
    </x:row>
    <x:row r="41" ht="15" hidden="0" customHeight="1">
      <x:c r="A41" s="18" t="str">
        <x:v>N-35</x:v>
      </x:c>
      <x:c r="B41" s="18" t="str">
        <x:v>Recebimento e movimentação na obra</x:v>
      </x:c>
      <x:c r="C41" s="18" t="str">
        <x:v>Externo</x:v>
      </x:c>
      <x:c r="D41" s="18" t="str">
        <x:v>Almoxarife, auxiliares e movimentadores da obra</x:v>
      </x:c>
      <x:c r="E41" s="18" t="str">
        <x:v>Movimentar o conjunto pelos acessos reais da obra, inclusive sem carrinho</x:v>
      </x:c>
      <x:c r="F41" s="18" t="str">
        <x:v>Ergonomia e segurança</x:v>
      </x:c>
    </x:row>
    <x:row r="42" ht="15" hidden="0" customHeight="1">
      <x:c r="A42" s="18" t="str">
        <x:v>N-36</x:v>
      </x:c>
      <x:c r="B42" s="18" t="str">
        <x:v>Recebimento e movimentação na obra</x:v>
      </x:c>
      <x:c r="C42" s="18" t="str">
        <x:v>Externo</x:v>
      </x:c>
      <x:c r="D42" s="18" t="str">
        <x:v>Almoxarife e auxiliares de almoxarifado da obra</x:v>
      </x:c>
      <x:c r="E42" s="18" t="str">
        <x:v>Armazenar de modo compacto e estável, sem obstruir passagens</x:v>
      </x:c>
      <x:c r="F42" s="18" t="str">
        <x:v>Eficiência operacional</x:v>
      </x:c>
    </x:row>
    <x:row r="43" ht="15" hidden="0" customHeight="1">
      <x:c r="A43" s="18" t="str">
        <x:v>N-37</x:v>
      </x:c>
      <x:c r="B43" s="18" t="str">
        <x:v>Recebimento e movimentação na obra</x:v>
      </x:c>
      <x:c r="C43" s="18" t="str">
        <x:v>Externo</x:v>
      </x:c>
      <x:c r="D43" s="18" t="str">
        <x:v>Almoxarife e equipe que recebe ou instala a louça</x:v>
      </x:c>
      <x:c r="E43" s="18" t="str">
        <x:v>Retirar a louça sem provocar avarias e sem contato com arestas cortantes</x:v>
      </x:c>
      <x:c r="F43" s="18" t="str">
        <x:v>Ergonomia e segurança</x:v>
      </x:c>
    </x:row>
    <x:row r="44" ht="15" hidden="0" customHeight="1">
      <x:c r="A44" s="18" t="str">
        <x:v>N-38</x:v>
      </x:c>
      <x:c r="B44" s="18" t="str">
        <x:v>Recebimento e movimentação na obra</x:v>
      </x:c>
      <x:c r="C44" s="18" t="str">
        <x:v>Externo</x:v>
      </x:c>
      <x:c r="D44" s="18" t="str">
        <x:v>Gestão da obra</x:v>
      </x:c>
      <x:c r="E44" s="18" t="str">
        <x:v>Gerar pouco volume residual no canteiro</x:v>
      </x:c>
      <x:c r="F44" s="18" t="str">
        <x:v>Sustentabilidade e conformidade</x:v>
      </x:c>
    </x:row>
    <x:row r="45" ht="15" hidden="0" customHeight="1">
      <x:c r="A45" s="18" t="str">
        <x:v>N-39</x:v>
      </x:c>
      <x:c r="B45" s="18" t="str">
        <x:v>Coleta e retorno</x:v>
      </x:c>
      <x:c r="C45" s="18" t="str">
        <x:v>Externo</x:v>
      </x:c>
      <x:c r="D45" s="18" t="str">
        <x:v>Coordenação e equipe de logística reversa do distribuidor</x:v>
      </x:c>
      <x:c r="E45" s="18" t="str">
        <x:v>Saber quando e onde coletar e identificar quantidade e condição dos itens</x:v>
      </x:c>
      <x:c r="F45" s="18" t="str">
        <x:v>Confiabilidade</x:v>
      </x:c>
    </x:row>
    <x:row r="46" ht="15" hidden="0" customHeight="1">
      <x:c r="A46" s="18" t="str">
        <x:v>N-40</x:v>
      </x:c>
      <x:c r="B46" s="18" t="str">
        <x:v>Coleta e retorno</x:v>
      </x:c>
      <x:c r="C46" s="18" t="str">
        <x:v>Externo</x:v>
      </x:c>
      <x:c r="D46" s="18" t="str">
        <x:v>Coordenação e equipe de logística reversa do distribuidor</x:v>
      </x:c>
      <x:c r="E46" s="18" t="str">
        <x:v>Agrupar, empilhar e carregar reduzindo volume, tempo e custo da coleta</x:v>
      </x:c>
      <x:c r="F46" s="18" t="str">
        <x:v>Eficiência operacional</x:v>
      </x:c>
    </x:row>
    <x:row r="47" ht="15" hidden="0" customHeight="1">
      <x:c r="A47" s="18" t="str">
        <x:v>N-41</x:v>
      </x:c>
      <x:c r="B47" s="18" t="str">
        <x:v>Coleta e retorno</x:v>
      </x:c>
      <x:c r="C47" s="18" t="str">
        <x:v>Externo</x:v>
      </x:c>
      <x:c r="D47" s="18" t="str">
        <x:v>Coordenação e equipe de logística reversa do distribuidor</x:v>
      </x:c>
      <x:c r="E47" s="18" t="str">
        <x:v>Suportar ciclos repetidos de uso, retorno e rearmazenamento</x:v>
      </x:c>
      <x:c r="F47" s="18" t="str">
        <x:v>Durabilidade e robustez</x:v>
      </x:c>
    </x:row>
    <x:row r="48" ht="15" hidden="0" customHeight="1">
      <x:c r="A48" s="18" t="str">
        <x:v>N-42</x:v>
      </x:c>
      <x:c r="B48" s="18" t="str">
        <x:v>Coleta e retorno</x:v>
      </x:c>
      <x:c r="C48" s="18" t="str">
        <x:v>Externo</x:v>
      </x:c>
      <x:c r="D48" s="18" t="str">
        <x:v>Coordenação e equipe de logística reversa do distribuidor</x:v>
      </x:c>
      <x:c r="E48" s="18" t="str">
        <x:v>Evitar mistura com resíduos da obra e rastrear o retorno</x:v>
      </x:c>
      <x:c r="F48" s="18" t="str">
        <x:v>Sustentabilidade e conformidade</x:v>
      </x:c>
    </x:row>
    <x:row r="49" ht="15" hidden="0" customHeight="1">
      <x:c r="A49" s="18" t="str">
        <x:v>N-43</x:v>
      </x:c>
      <x:c r="B49" s="18" t="str">
        <x:v>Descarte</x:v>
      </x:c>
      <x:c r="C49" s="18" t="str">
        <x:v>Externo</x:v>
      </x:c>
      <x:c r="D49" s="18" t="str">
        <x:v>Recebimento de retornos e gestão de resíduos do distribuidor</x:v>
      </x:c>
      <x:c r="E49" s="18" t="str">
        <x:v>Receber, segregar e identificar os materiais com segurança</x:v>
      </x:c>
      <x:c r="F49" s="18" t="str">
        <x:v>Sustentabilidade e conformidade</x:v>
      </x:c>
    </x:row>
    <x:row r="50" ht="15" hidden="0" customHeight="1">
      <x:c r="A50" s="18" t="str">
        <x:v>N-44</x:v>
      </x:c>
      <x:c r="B50" s="18" t="str">
        <x:v>Descarte</x:v>
      </x:c>
      <x:c r="C50" s="18" t="str">
        <x:v>Externo</x:v>
      </x:c>
      <x:c r="D50" s="18" t="str">
        <x:v>Transportador de resíduos, reciclador e destinador final</x:v>
      </x:c>
      <x:c r="E50" s="18" t="str">
        <x:v>Preparar a destinação sem operações complexas e comprovar o encaminhamento</x:v>
      </x:c>
      <x:c r="F50" s="18" t="str">
        <x:v>Sustentabilidade e conformidade</x:v>
      </x:c>
    </x:row>
  </x:sheetData>
  <x:mergeCells>
    <x:mergeCell ref="A2:F2"/>
    <x:mergeCell ref="A4:F4"/>
  </x:mergeCells>
  <x:dataValidations count="2">
    <x:dataValidation type="list" sqref="C7:C50">
      <x:formula1>"Interno,Intermediário,Externo"</x:formula1>
    </x:dataValidation>
    <x:dataValidation type="list" sqref="F7:F50">
      <x:formula1>"Funcionamento,Ergonomia e segurança,Eficiência operacional,Durabilidade e robustez,Confiabilidade,Econômico,Modularidade,Sustentabilidade e conformidade"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C89B3C"/>
  </x:sheetPr>
  <x:sheetViews>
    <x:sheetView showGridLines="0" workbookViewId="0">
      <x:pane xSplit="1" topLeftCell="B1" activePane="topRight" state="frozen"/>
    </x:sheetView>
  </x:sheetViews>
  <x:sheetFormatPr defaultRowHeight="15"/>
  <x:cols>
    <x:col min="1" max="1" width="30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</x:cols>
  <x:sheetData>
    <x:row r="2" ht="30" customHeight="1">
      <x:c r="A2" s="2" t="str">
        <x:v>Matriz de atributos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3"/>
      <x:c r="B3" s="3"/>
      <x:c r="C3" s="3"/>
      <x:c r="D3" s="3"/>
      <x:c r="E3" s="3"/>
      <x:c r="F3" s="3"/>
      <x:c r="G3" s="3"/>
      <x:c r="H3" s="3"/>
      <x:c r="I3" s="3"/>
    </x:row>
    <x:row r="4" ht="34" customHeight="1">
      <x:c r="A4" s="6" t="str">
        <x:v>Método da Aula 12: fases do ciclo de vida nas linhas, atributos básicos do produto nas colunas e necessidades agrupadas nas células. Célula vazia indica ausência de exigência relevante ou lacuna de pesquisa.</x:v>
      </x:c>
      <x:c r="B4" s="6"/>
      <x:c r="C4" s="6"/>
      <x:c r="D4" s="6"/>
      <x:c r="E4" s="6"/>
      <x:c r="F4" s="6"/>
      <x:c r="G4" s="6"/>
      <x:c r="H4" s="6"/>
      <x:c r="I4" s="6"/>
    </x:row>
    <x:row r="6" ht="15" hidden="0" customHeight="1">
      <x:c r="A6" s="22" t="str">
        <x:v>Fase do ciclo de vida</x:v>
      </x:c>
      <x:c r="B6" s="22" t="str">
        <x:v>Funcionamento</x:v>
      </x:c>
      <x:c r="C6" s="22" t="str">
        <x:v>Ergonomia e segurança</x:v>
      </x:c>
      <x:c r="D6" s="22" t="str">
        <x:v>Eficiência operacional</x:v>
      </x:c>
      <x:c r="E6" s="22" t="str">
        <x:v>Durabilidade e robustez</x:v>
      </x:c>
      <x:c r="F6" s="22" t="str">
        <x:v>Confiabilidade</x:v>
      </x:c>
      <x:c r="G6" s="22" t="str">
        <x:v>Econômico</x:v>
      </x:c>
      <x:c r="H6" s="22" t="str">
        <x:v>Modularidade</x:v>
      </x:c>
      <x:c r="I6" s="22" t="str">
        <x:v>Sustentabilidade e conformidade</x:v>
      </x:c>
    </x:row>
    <x:row r="7" ht="15" hidden="0" customHeight="1">
      <x:c r="A7" s="24" t="str">
        <x:v>Fornecimento</x:v>
      </x:c>
      <x:c r="B7" s="25" t="str"/>
      <x:c r="C7" s="25" t="str"/>
      <x:c r="D7" s="25" t="str"/>
      <x:c r="E7" s="25" t="str"/>
      <x:c r="F7" s="25" t="str">
        <x:v>N-01 especificações e aceitação claras</x:v>
      </x:c>
      <x:c r="G7" s="25" t="str">
        <x:v>N-02 lotes e prazos viáveis</x:v>
      </x:c>
      <x:c r="H7" s="25" t="str">
        <x:v>N-03 itens padronizados e repetíveis</x:v>
      </x:c>
      <x:c r="I7" s="25" t="str"/>
    </x:row>
    <x:row r="8" ht="21.600000381469727" hidden="0" customHeight="1">
      <x:c r="A8" s="24" t="str">
        <x:v>Recebimento de insumos</x:v>
      </x:c>
      <x:c r="B8" s="25" t="str"/>
      <x:c r="C8" s="25" t="str"/>
      <x:c r="D8" s="25" t="str">
        <x:v>N-04 conferência rápida
N-05 armazenagem sem dano</x:v>
      </x:c>
      <x:c r="E8" s="25" t="str"/>
      <x:c r="F8" s="25" t="str">
        <x:v>N-06 rastrear origem e lote</x:v>
      </x:c>
      <x:c r="G8" s="25" t="str"/>
      <x:c r="H8" s="25" t="str"/>
      <x:c r="I8" s="25" t="str"/>
    </x:row>
    <x:row r="9" ht="15" hidden="0" customHeight="1">
      <x:c r="A9" s="24" t="str">
        <x:v>Produção própria</x:v>
      </x:c>
      <x:c r="B9" s="25" t="str"/>
      <x:c r="C9" s="25" t="str"/>
      <x:c r="D9" s="25" t="str"/>
      <x:c r="E9" s="25" t="str"/>
      <x:c r="F9" s="25" t="str">
        <x:v>N-07 processo repetível e seguro</x:v>
      </x:c>
      <x:c r="G9" s="25" t="str">
        <x:v>N-08 reduzir retrabalho e desperdício</x:v>
      </x:c>
      <x:c r="H9" s="25" t="str"/>
      <x:c r="I9" s="25" t="str"/>
    </x:row>
    <x:row r="10" ht="15" hidden="0" customHeight="1">
      <x:c r="A10" s="24" t="str">
        <x:v>Estoque intermediário</x:v>
      </x:c>
      <x:c r="B10" s="25" t="str"/>
      <x:c r="C10" s="25" t="str"/>
      <x:c r="D10" s="25" t="str"/>
      <x:c r="E10" s="25" t="str">
        <x:v>N-09 preservar e identificar componentes</x:v>
      </x:c>
      <x:c r="F10" s="25" t="str"/>
      <x:c r="G10" s="25" t="str"/>
      <x:c r="H10" s="25" t="str">
        <x:v>N-10 disponibilidade por configuração</x:v>
      </x:c>
      <x:c r="I10" s="25" t="str"/>
    </x:row>
    <x:row r="11" ht="15" hidden="0" customHeight="1">
      <x:c r="A11" s="24" t="str">
        <x:v>Pedido e configuração</x:v>
      </x:c>
      <x:c r="B11" s="25" t="str"/>
      <x:c r="C11" s="25" t="str"/>
      <x:c r="D11" s="25" t="str"/>
      <x:c r="E11" s="25" t="str"/>
      <x:c r="F11" s="25" t="str"/>
      <x:c r="G11" s="25" t="str">
        <x:v>N-12 preço e prazo claros</x:v>
      </x:c>
      <x:c r="H11" s="25" t="str">
        <x:v>N-11 apenas configurações aprovadas</x:v>
      </x:c>
      <x:c r="I11" s="25" t="str"/>
    </x:row>
    <x:row r="12" ht="15" hidden="0" customHeight="1">
      <x:c r="A12" s="24" t="str">
        <x:v>Montagem final e inspeção</x:v>
      </x:c>
      <x:c r="B12" s="25" t="str">
        <x:v>N-14 montagem correta reconhecível</x:v>
      </x:c>
      <x:c r="C12" s="25" t="str"/>
      <x:c r="D12" s="25" t="str">
        <x:v>N-13 montagem rápida e segura</x:v>
      </x:c>
      <x:c r="E12" s="25" t="str"/>
      <x:c r="F12" s="25" t="str">
        <x:v>N-15 critérios de aceitação e bloqueio</x:v>
      </x:c>
      <x:c r="G12" s="25" t="str"/>
      <x:c r="H12" s="25" t="str"/>
      <x:c r="I12" s="25" t="str">
        <x:v>N-16 rastrear configuração e inspeção</x:v>
      </x:c>
    </x:row>
    <x:row r="13" ht="15" hidden="0" customHeight="1">
      <x:c r="A13" s="24" t="str">
        <x:v>Expedição ao distribuidor</x:v>
      </x:c>
      <x:c r="B13" s="25" t="str"/>
      <x:c r="C13" s="25" t="str">
        <x:v>N-17 unitizar e carregar com segurança</x:v>
      </x:c>
      <x:c r="D13" s="25" t="str">
        <x:v>N-18 aproveitar espaço de carga</x:v>
      </x:c>
      <x:c r="E13" s="25" t="str">
        <x:v>N-19 entregar sem danificar o produto</x:v>
      </x:c>
      <x:c r="F13" s="25" t="str"/>
      <x:c r="G13" s="25" t="str"/>
      <x:c r="H13" s="25" t="str"/>
      <x:c r="I13" s="25" t="str"/>
    </x:row>
    <x:row r="14" ht="15" hidden="0" customHeight="1">
      <x:c r="A14" s="24" t="str">
        <x:v>Recebimento no distribuidor</x:v>
      </x:c>
      <x:c r="B14" s="25" t="str"/>
      <x:c r="C14" s="25" t="str"/>
      <x:c r="D14" s="25" t="str">
        <x:v>N-22 conferir e armazenar em pouco espaço</x:v>
      </x:c>
      <x:c r="E14" s="25" t="str"/>
      <x:c r="F14" s="25" t="str">
        <x:v>N-21 fornecimento previsível e conforme</x:v>
      </x:c>
      <x:c r="G14" s="25" t="str">
        <x:v>N-20 ganho pela redução de avarias</x:v>
      </x:c>
      <x:c r="H14" s="25" t="str"/>
      <x:c r="I14" s="25" t="str"/>
    </x:row>
    <x:row r="15" ht="21.600000381469727" hidden="0" customHeight="1">
      <x:c r="A15" s="24" t="str">
        <x:v>Uso na produção do distribuidor</x:v>
      </x:c>
      <x:c r="B15" s="25" t="str">
        <x:v>N-25 atender às variações de louça
N-26 proteger contra impacto e vibração</x:v>
      </x:c>
      <x:c r="C15" s="25" t="str">
        <x:v>N-24 uso fácil sem treinamento longo
N-28 manipulação segura e ergonômica</x:v>
      </x:c>
      <x:c r="D15" s="25" t="str">
        <x:v>N-23 não reduzir o ritmo do processo</x:v>
      </x:c>
      <x:c r="E15" s="25" t="str"/>
      <x:c r="F15" s="25" t="str">
        <x:v>N-27 confirmação visual do fechamento</x:v>
      </x:c>
      <x:c r="G15" s="25" t="str"/>
      <x:c r="H15" s="25" t="str"/>
      <x:c r="I15" s="25" t="str"/>
    </x:row>
    <x:row r="16" ht="32.400001525878906" hidden="0" customHeight="1">
      <x:c r="A16" s="24" t="str">
        <x:v>Envio à obra</x:v>
      </x:c>
      <x:c r="B16" s="25" t="str">
        <x:v>N-29 compatibilidade com veículo e amarração
N-31 impedir deslocamento e queda</x:v>
      </x:c>
      <x:c r="C16" s="25" t="str">
        <x:v>N-32 carga e descarga sem esforço crítico
N-33 instruções de manuseio reconhecíveis</x:v>
      </x:c>
      <x:c r="D16" s="25" t="str"/>
      <x:c r="E16" s="25" t="str"/>
      <x:c r="F16" s="25" t="str"/>
      <x:c r="G16" s="25" t="str"/>
      <x:c r="H16" s="25" t="str"/>
      <x:c r="I16" s="25" t="str">
        <x:v>N-30 identificar conteúdo, destino e retorno</x:v>
      </x:c>
    </x:row>
    <x:row r="17" ht="21.600000381469727" hidden="0" customHeight="1">
      <x:c r="A17" s="24" t="str">
        <x:v>Recebimento e movimentação na obra</x:v>
      </x:c>
      <x:c r="B17" s="25" t="str">
        <x:v>N-34 conferência da integridade no recebimento</x:v>
      </x:c>
      <x:c r="C17" s="25" t="str">
        <x:v>N-35 movimentação pelos acessos reais
N-37 retirada sem aresta cortante</x:v>
      </x:c>
      <x:c r="D17" s="25" t="str">
        <x:v>N-36 armazenagem compacta e estável</x:v>
      </x:c>
      <x:c r="E17" s="25" t="str"/>
      <x:c r="F17" s="25" t="str"/>
      <x:c r="G17" s="25" t="str"/>
      <x:c r="H17" s="25" t="str"/>
      <x:c r="I17" s="25" t="str">
        <x:v>N-38 pouco volume residual no canteiro</x:v>
      </x:c>
    </x:row>
    <x:row r="18" ht="21.600000381469727" hidden="0" customHeight="1">
      <x:c r="A18" s="24" t="str">
        <x:v>Coleta e retorno</x:v>
      </x:c>
      <x:c r="B18" s="25" t="str"/>
      <x:c r="C18" s="25" t="str"/>
      <x:c r="D18" s="25" t="str">
        <x:v>N-40 agrupar e carregar reduzindo volume</x:v>
      </x:c>
      <x:c r="E18" s="25" t="str">
        <x:v>N-41 suportar ciclos repetidos</x:v>
      </x:c>
      <x:c r="F18" s="25" t="str">
        <x:v>N-39 saber quando, onde e em que condição coletar</x:v>
      </x:c>
      <x:c r="G18" s="25" t="str"/>
      <x:c r="H18" s="25" t="str"/>
      <x:c r="I18" s="25" t="str">
        <x:v>N-42 evitar mistura e rastrear o retorno</x:v>
      </x:c>
    </x:row>
    <x:row r="19" ht="21.600000381469727" hidden="0" customHeight="1">
      <x:c r="A19" s="24" t="str">
        <x:v>Descarte</x:v>
      </x:c>
      <x:c r="B19" s="25" t="str"/>
      <x:c r="C19" s="25" t="str"/>
      <x:c r="D19" s="25" t="str"/>
      <x:c r="E19" s="25" t="str"/>
      <x:c r="F19" s="25" t="str"/>
      <x:c r="G19" s="25" t="str"/>
      <x:c r="H19" s="25" t="str"/>
      <x:c r="I19" s="25" t="str">
        <x:v>N-43 segregar e identificar materiais
N-44 destinação simples e comprovada</x:v>
      </x:c>
    </x:row>
    <x:row r="21" ht="23" customHeight="1">
      <x:c r="A21" s="14" t="str">
        <x:v>Cobertura por atributo</x:v>
      </x:c>
      <x:c r="B21" s="14"/>
      <x:c r="C21" s="14"/>
      <x:c r="D21" s="14"/>
      <x:c r="E21" s="14"/>
      <x:c r="F21" s="14"/>
      <x:c r="G21" s="14"/>
      <x:c r="H21" s="14"/>
      <x:c r="I21" s="14"/>
    </x:row>
    <x:row r="22">
      <x:c r="A22" s="26" t="str">
        <x:v>Necessidades por atributo</x:v>
      </x:c>
      <x:c r="B22" s="29" t="n">
        <x:v>6</x:v>
      </x:c>
      <x:c r="C22" s="29" t="n">
        <x:v>7</x:v>
      </x:c>
      <x:c r="D22" s="29" t="n">
        <x:v>8</x:v>
      </x:c>
      <x:c r="E22" s="29" t="n">
        <x:v>3</x:v>
      </x:c>
      <x:c r="F22" s="29" t="n">
        <x:v>7</x:v>
      </x:c>
      <x:c r="G22" s="29" t="n">
        <x:v>4</x:v>
      </x:c>
      <x:c r="H22" s="29" t="n">
        <x:v>3</x:v>
      </x:c>
      <x:c r="I22" s="29" t="n">
        <x:v>6</x:v>
      </x:c>
    </x:row>
  </x:sheetData>
  <x:mergeCells>
    <x:mergeCell ref="A2:I2"/>
    <x:mergeCell ref="A4:I4"/>
    <x:mergeCell ref="A21:I2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C89B3C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0" hidden="0" customWidth="1"/>
    <x:col min="2" max="2" width="68" hidden="0" customWidth="1"/>
    <x:col min="3" max="3" width="58" hidden="0" customWidth="1"/>
    <x:col min="4" max="4" width="13" hidden="0" customWidth="1"/>
  </x:cols>
  <x:sheetData>
    <x:row r="2" ht="30" customHeight="1">
      <x:c r="A2" s="2" t="str">
        <x:v>Técnica de cenários</x:v>
      </x:c>
      <x:c r="B2" s="2"/>
      <x:c r="C2" s="2"/>
      <x:c r="D2" s="2"/>
    </x:row>
    <x:row r="3">
      <x:c r="A3" s="3"/>
      <x:c r="B3" s="3"/>
      <x:c r="C3" s="3"/>
      <x:c r="D3" s="3"/>
    </x:row>
    <x:row r="4" ht="34" customHeight="1">
      <x:c r="A4" s="6" t="str">
        <x:v>Matriz de transformação de dados originais em requisitos (Aula 12). Cada necessidade de redação imprecisa gera uma cena concreta, e da cena extrai-se um requisito verificável.</x:v>
      </x:c>
      <x:c r="B4" s="6"/>
      <x:c r="C4" s="6"/>
      <x:c r="D4" s="6"/>
    </x:row>
    <x:row r="6" ht="15" hidden="0" customHeight="1">
      <x:c r="A6" s="22" t="str">
        <x:v>Dado original</x:v>
      </x:c>
      <x:c r="B6" s="22" t="str">
        <x:v>Cena</x:v>
      </x:c>
      <x:c r="C6" s="22" t="str">
        <x:v>Requisito resultante</x:v>
      </x:c>
      <x:c r="D6" s="22" t="str">
        <x:v>Requisito</x:v>
      </x:c>
    </x:row>
    <x:row r="7" ht="24" hidden="0" customHeight="1">
      <x:c r="A7" s="30" t="str">
        <x:v>Proteger a louça (N-26)</x:v>
      </x:c>
      <x:c r="B7" s="18" t="str">
        <x:v>Uma cuba viaja quarenta minutos em trecho de piso irregular, apoiada na lateral do baú, com outras cargas ao lado</x:v>
      </x:c>
      <x:c r="C7" s="23" t="str">
        <x:v>Limitar impacto, vibração e atrito transmitidos à louça durante todo o percurso</x:v>
      </x:c>
      <x:c r="D7" s="32" t="str">
        <x:v>RC-01</x:v>
      </x:c>
    </x:row>
    <x:row r="8" ht="24" hidden="0" customHeight="1">
      <x:c r="A8" s="30" t="str">
        <x:v>Não deixar a peça cair (N-31)</x:v>
      </x:c>
      <x:c r="B8" s="18" t="str">
        <x:v>O veículo freia em curva e a carga se desloca; o conjunto precisa permanecer na posição em que foi carregado</x:v>
      </x:c>
      <x:c r="C8" s="23" t="str">
        <x:v>Impedir deslocamento, tombamento e queda da louça no transporte e na movimentação</x:v>
      </x:c>
      <x:c r="D8" s="32" t="str">
        <x:v>RC-02</x:v>
      </x:c>
    </x:row>
    <x:row r="9" ht="24" hidden="0" customHeight="1">
      <x:c r="A9" s="30" t="str">
        <x:v>Ser de fácil movimentação (N-35)</x:v>
      </x:c>
      <x:c r="B9" s="18" t="str">
        <x:v>O carrinho não passa pela porta do apartamento; dois ajudantes levam o conjunto por um corredor estreito e um lance de escada</x:v>
      </x:c>
      <x:c r="C9" s="23" t="str">
        <x:v>Permitir a movimentação por uma ou duas pessoas pelos acessos reais da obra</x:v>
      </x:c>
      <x:c r="D9" s="32" t="str">
        <x:v>RC-07</x:v>
      </x:c>
    </x:row>
    <x:row r="10" ht="24" hidden="0" customHeight="1">
      <x:c r="A10" s="30" t="str">
        <x:v>Ser seguro (N-37)</x:v>
      </x:c>
      <x:c r="B10" s="18" t="str">
        <x:v>O almoxarife encontra a peça trincada ao abrir o conjunto e precisa retirá-la sem tocar a borda quebrada</x:v>
      </x:c>
      <x:c r="C10" s="23" t="str">
        <x:v>Permitir a retirada da louça sem contato com arestas cortantes</x:v>
      </x:c>
      <x:c r="D10" s="32" t="str">
        <x:v>RC-09</x:v>
      </x:c>
    </x:row>
    <x:row r="11" ht="24" hidden="0" customHeight="1">
      <x:c r="A11" s="30" t="str">
        <x:v>Ser fácil de usar (N-24)</x:v>
      </x:c>
      <x:c r="B11" s="18" t="str">
        <x:v>Um operador que nunca havia usado o produto prepara a primeira peça do turno sem consultar outra pessoa</x:v>
      </x:c>
      <x:c r="C11" s="23" t="str">
        <x:v>Ter procedimento de uso simples para serviço rotineiro, sem treinamento formal</x:v>
      </x:c>
      <x:c r="D11" s="32" t="str">
        <x:v>RC-10</x:v>
      </x:c>
    </x:row>
    <x:row r="12" ht="15" hidden="0" customHeight="1">
      <x:c r="A12" s="30" t="str">
        <x:v>Não atrapalhar o processo (N-23)</x:v>
      </x:c>
      <x:c r="B12" s="18" t="str">
        <x:v>Em dia de pico, o operador precisa preparar a mesma quantidade de peças no mesmo turno de antes</x:v>
      </x:c>
      <x:c r="C12" s="23" t="str">
        <x:v>Não aumentar o tempo de preparação e de conferência em relação à prática atual</x:v>
      </x:c>
      <x:c r="D12" s="32" t="str">
        <x:v>RC-06</x:v>
      </x:c>
    </x:row>
    <x:row r="13" ht="15" hidden="0" customHeight="1">
      <x:c r="A13" s="30" t="str">
        <x:v>Ocupar pouco espaço (N-22, N-36)</x:v>
      </x:c>
      <x:c r="B13" s="18" t="str">
        <x:v>Entre entregas, os conjuntos vazios aguardam em um estoque já ocupado por louças e paletes</x:v>
      </x:c>
      <x:c r="C13" s="23" t="str">
        <x:v>Reduzir o volume ocupado quando vazio, fora de uso ou em retorno</x:v>
      </x:c>
      <x:c r="D13" s="32" t="str">
        <x:v>RC-13</x:v>
      </x:c>
    </x:row>
    <x:row r="14" ht="15" hidden="0" customHeight="1">
      <x:c r="A14" s="30" t="str">
        <x:v>Ser durável (N-41)</x:v>
      </x:c>
      <x:c r="B14" s="18" t="str">
        <x:v>O mesmo conjunto retorna da obra pela décima vez e é separado para uso na entrega do dia seguinte</x:v>
      </x:c>
      <x:c r="C14" s="23" t="str">
        <x:v>Suportar ciclos repetidos de uso, retorno e rearmazenamento sem perder função</x:v>
      </x:c>
      <x:c r="D14" s="32" t="str">
        <x:v>RC-19</x:v>
      </x:c>
    </x:row>
    <x:row r="15" ht="24" hidden="0" customHeight="1">
      <x:c r="A15" s="30" t="str">
        <x:v>Conferir a peça (N-34)</x:v>
      </x:c>
      <x:c r="B15" s="18" t="str">
        <x:v>O motorista aguarda enquanto o almoxarife decide se assina o comprovante de entrega; a peça permanece fechada</x:v>
      </x:c>
      <x:c r="C15" s="23" t="str">
        <x:v>Permitir a verificação da integridade da louça no ato do recebimento</x:v>
      </x:c>
      <x:c r="D15" s="32" t="str">
        <x:v>RC-04</x:v>
      </x:c>
    </x:row>
    <x:row r="16" ht="15" hidden="0" customHeight="1">
      <x:c r="A16" s="30" t="str">
        <x:v>Ser barato (N-20)</x:v>
      </x:c>
      <x:c r="B16" s="18" t="str">
        <x:v>O comprador do distribuidor compara o preço do conjunto com o custo de repor uma peça avariada</x:v>
      </x:c>
      <x:c r="C16" s="23" t="str">
        <x:v>Ter custo por ciclo de uso inferior ao custo médio da avaria evitada</x:v>
      </x:c>
      <x:c r="D16" s="32" t="str">
        <x:v>RC-26</x:v>
      </x:c>
    </x:row>
    <x:row r="17" ht="24" hidden="0" customHeight="1">
      <x:c r="A17" s="30" t="str">
        <x:v>Descartar corretamente (N-43)</x:v>
      </x:c>
      <x:c r="B17" s="18" t="str">
        <x:v>Ao fim da vida útil, o responsável pelo resíduo precisa informar de que material o produto é feito para encaminhá-lo</x:v>
      </x:c>
      <x:c r="C17" s="23" t="str">
        <x:v>Permitir a identificação e a segregação dos materiais no descarte</x:v>
      </x:c>
      <x:c r="D17" s="32" t="str">
        <x:v>RC-21</x:v>
      </x:c>
    </x:row>
  </x:sheetData>
  <x:mergeCells>
    <x:mergeCell ref="A2:D2"/>
    <x:mergeCell ref="A4:D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C89B3C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0" hidden="0" customWidth="1"/>
    <x:col min="2" max="2" width="24" hidden="0" customWidth="1"/>
    <x:col min="3" max="3" width="64" hidden="0" customWidth="1"/>
    <x:col min="4" max="4" width="28" hidden="0" customWidth="1"/>
    <x:col min="5" max="5" width="36" hidden="0" customWidth="1"/>
    <x:col min="6" max="6" width="13" hidden="0" customWidth="1"/>
    <x:col min="7" max="7" width="13" hidden="0" customWidth="1"/>
    <x:col min="8" max="8" width="16" hidden="0" customWidth="1"/>
    <x:col min="9" max="9" width="30" hidden="0" customWidth="1"/>
  </x:cols>
  <x:sheetData>
    <x:row r="2" ht="30" customHeight="1">
      <x:c r="A2" s="2" t="str">
        <x:v>Requisitos dos clientes e do produto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3"/>
      <x:c r="B3" s="3"/>
      <x:c r="C3" s="3"/>
      <x:c r="D3" s="3"/>
      <x:c r="E3" s="3"/>
      <x:c r="F3" s="3"/>
      <x:c r="G3" s="3"/>
      <x:c r="H3" s="3"/>
      <x:c r="I3" s="3"/>
    </x:row>
    <x:row r="4" ht="34" customHeight="1">
      <x:c r="A4" s="6" t="str">
        <x:v>Rastreabilidade mantida: necessidade → requisito do cliente → requisito mensurável do produto. As colunas de requisito do produto serão preenchidas no QFD.</x:v>
      </x:c>
      <x:c r="B4" s="6"/>
      <x:c r="C4" s="6"/>
      <x:c r="D4" s="6"/>
      <x:c r="E4" s="6"/>
      <x:c r="F4" s="6"/>
      <x:c r="G4" s="6"/>
      <x:c r="H4" s="6"/>
      <x:c r="I4" s="6"/>
    </x:row>
    <x:row r="6" ht="15" hidden="0" customHeight="1">
      <x:c r="A6" s="22" t="str">
        <x:v>ID</x:v>
      </x:c>
      <x:c r="B6" s="22" t="str">
        <x:v>Aspecto</x:v>
      </x:c>
      <x:c r="C6" s="22" t="str">
        <x:v>Requisito do cliente</x:v>
      </x:c>
      <x:c r="D6" s="22" t="str">
        <x:v>Necessidades de origem</x:v>
      </x:c>
      <x:c r="E6" s="22" t="str">
        <x:v>Requisito do produto</x:v>
      </x:c>
      <x:c r="F6" s="22" t="str">
        <x:v>Unidade</x:v>
      </x:c>
      <x:c r="G6" s="22" t="str">
        <x:v>Direção</x:v>
      </x:c>
      <x:c r="H6" s="22" t="str">
        <x:v>Meta</x:v>
      </x:c>
      <x:c r="I6" s="22" t="str">
        <x:v>Método de verificação</x:v>
      </x:c>
    </x:row>
    <x:row r="7" ht="15" hidden="0" customHeight="1">
      <x:c r="A7" s="18" t="str">
        <x:v>RC-01</x:v>
      </x:c>
      <x:c r="B7" s="18" t="str">
        <x:v>Desempenho funcional</x:v>
      </x:c>
      <x:c r="C7" s="18" t="str">
        <x:v>Limitar impacto, vibração e atrito transmitidos à louça durante todo o percurso</x:v>
      </x:c>
      <x:c r="D7" s="18" t="str">
        <x:v>N-26, N-31</x:v>
      </x:c>
      <x:c r="E7" s="30" t="str"/>
      <x:c r="F7" s="30" t="str"/>
      <x:c r="G7" s="30" t="str"/>
      <x:c r="H7" s="30" t="str"/>
      <x:c r="I7" s="30" t="str"/>
    </x:row>
    <x:row r="8" ht="15" hidden="0" customHeight="1">
      <x:c r="A8" s="18" t="str">
        <x:v>RC-02</x:v>
      </x:c>
      <x:c r="B8" s="18" t="str">
        <x:v>Desempenho funcional</x:v>
      </x:c>
      <x:c r="C8" s="18" t="str">
        <x:v>Impedir deslocamento, tombamento e queda da louça no transporte e na movimentação</x:v>
      </x:c>
      <x:c r="D8" s="18" t="str">
        <x:v>N-29, N-31, N-37</x:v>
      </x:c>
      <x:c r="E8" s="30" t="str"/>
      <x:c r="F8" s="30" t="str"/>
      <x:c r="G8" s="30" t="str"/>
      <x:c r="H8" s="30" t="str"/>
      <x:c r="I8" s="30" t="str"/>
    </x:row>
    <x:row r="9" ht="15" hidden="0" customHeight="1">
      <x:c r="A9" s="18" t="str">
        <x:v>RC-03</x:v>
      </x:c>
      <x:c r="B9" s="18" t="str">
        <x:v>Desempenho funcional</x:v>
      </x:c>
      <x:c r="C9" s="18" t="str">
        <x:v>Acomodar as variações de louça relevantes para a operação do distribuidor</x:v>
      </x:c>
      <x:c r="D9" s="18" t="str">
        <x:v>N-10, N-25</x:v>
      </x:c>
      <x:c r="E9" s="30" t="str"/>
      <x:c r="F9" s="30" t="str"/>
      <x:c r="G9" s="30" t="str"/>
      <x:c r="H9" s="30" t="str"/>
      <x:c r="I9" s="30" t="str"/>
    </x:row>
    <x:row r="10" ht="15" hidden="0" customHeight="1">
      <x:c r="A10" s="18" t="str">
        <x:v>RC-04</x:v>
      </x:c>
      <x:c r="B10" s="18" t="str">
        <x:v>Desempenho funcional</x:v>
      </x:c>
      <x:c r="C10" s="18" t="str">
        <x:v>Permitir a verificação da integridade da louça no ato do recebimento</x:v>
      </x:c>
      <x:c r="D10" s="18" t="str">
        <x:v>N-27, N-34</x:v>
      </x:c>
      <x:c r="E10" s="30" t="str"/>
      <x:c r="F10" s="30" t="str"/>
      <x:c r="G10" s="30" t="str"/>
      <x:c r="H10" s="30" t="str"/>
      <x:c r="I10" s="30" t="str"/>
    </x:row>
    <x:row r="11" ht="15" hidden="0" customHeight="1">
      <x:c r="A11" s="18" t="str">
        <x:v>RC-05</x:v>
      </x:c>
      <x:c r="B11" s="18" t="str">
        <x:v>Desempenho funcional</x:v>
      </x:c>
      <x:c r="C11" s="18" t="str">
        <x:v>Sinalizar visualmente o uso, o fechamento e a montagem corretos</x:v>
      </x:c>
      <x:c r="D11" s="18" t="str">
        <x:v>N-14, N-27, N-33</x:v>
      </x:c>
      <x:c r="E11" s="30" t="str"/>
      <x:c r="F11" s="30" t="str"/>
      <x:c r="G11" s="30" t="str"/>
      <x:c r="H11" s="30" t="str"/>
      <x:c r="I11" s="30" t="str"/>
    </x:row>
    <x:row r="12" ht="15" hidden="0" customHeight="1">
      <x:c r="A12" s="18" t="str">
        <x:v>RC-06</x:v>
      </x:c>
      <x:c r="B12" s="18" t="str">
        <x:v>Desempenho funcional</x:v>
      </x:c>
      <x:c r="C12" s="18" t="str">
        <x:v>Não aumentar o tempo de preparação e de conferência em relação à prática atual</x:v>
      </x:c>
      <x:c r="D12" s="18" t="str">
        <x:v>N-04, N-22, N-23</x:v>
      </x:c>
      <x:c r="E12" s="30" t="str"/>
      <x:c r="F12" s="30" t="str"/>
      <x:c r="G12" s="30" t="str"/>
      <x:c r="H12" s="30" t="str"/>
      <x:c r="I12" s="30" t="str"/>
    </x:row>
    <x:row r="13" ht="15" hidden="0" customHeight="1">
      <x:c r="A13" s="18" t="str">
        <x:v>RC-07</x:v>
      </x:c>
      <x:c r="B13" s="18" t="str">
        <x:v>Fatores humanos</x:v>
      </x:c>
      <x:c r="C13" s="18" t="str">
        <x:v>Permitir a movimentação por uma ou duas pessoas pelos acessos reais da obra</x:v>
      </x:c>
      <x:c r="D13" s="18" t="str">
        <x:v>N-32, N-35</x:v>
      </x:c>
      <x:c r="E13" s="30" t="str"/>
      <x:c r="F13" s="30" t="str"/>
      <x:c r="G13" s="30" t="str"/>
      <x:c r="H13" s="30" t="str"/>
      <x:c r="I13" s="30" t="str"/>
    </x:row>
    <x:row r="14" ht="15" hidden="0" customHeight="1">
      <x:c r="A14" s="18" t="str">
        <x:v>RC-08</x:v>
      </x:c>
      <x:c r="B14" s="18" t="str">
        <x:v>Fatores humanos</x:v>
      </x:c>
      <x:c r="C14" s="18" t="str">
        <x:v>Evitar esforço excessivo e posturas críticas na carga, na descarga e na movimentação</x:v>
      </x:c>
      <x:c r="D14" s="18" t="str">
        <x:v>N-17, N-28, N-32</x:v>
      </x:c>
      <x:c r="E14" s="30" t="str"/>
      <x:c r="F14" s="30" t="str"/>
      <x:c r="G14" s="30" t="str"/>
      <x:c r="H14" s="30" t="str"/>
      <x:c r="I14" s="30" t="str"/>
    </x:row>
    <x:row r="15" ht="15" hidden="0" customHeight="1">
      <x:c r="A15" s="18" t="str">
        <x:v>RC-09</x:v>
      </x:c>
      <x:c r="B15" s="18" t="str">
        <x:v>Fatores humanos</x:v>
      </x:c>
      <x:c r="C15" s="18" t="str">
        <x:v>Permitir a retirada da louça sem contato com arestas cortantes</x:v>
      </x:c>
      <x:c r="D15" s="18" t="str">
        <x:v>N-37</x:v>
      </x:c>
      <x:c r="E15" s="30" t="str"/>
      <x:c r="F15" s="30" t="str"/>
      <x:c r="G15" s="30" t="str"/>
      <x:c r="H15" s="30" t="str"/>
      <x:c r="I15" s="30" t="str"/>
    </x:row>
    <x:row r="16" ht="15" hidden="0" customHeight="1">
      <x:c r="A16" s="18" t="str">
        <x:v>RC-10</x:v>
      </x:c>
      <x:c r="B16" s="18" t="str">
        <x:v>Fatores humanos</x:v>
      </x:c>
      <x:c r="C16" s="18" t="str">
        <x:v>Ter procedimento de uso simples para serviço rotineiro, sem treinamento formal</x:v>
      </x:c>
      <x:c r="D16" s="18" t="str">
        <x:v>N-24, N-33</x:v>
      </x:c>
      <x:c r="E16" s="30" t="str"/>
      <x:c r="F16" s="30" t="str"/>
      <x:c r="G16" s="30" t="str"/>
      <x:c r="H16" s="30" t="str"/>
      <x:c r="I16" s="30" t="str"/>
    </x:row>
    <x:row r="17" ht="15" hidden="0" customHeight="1">
      <x:c r="A17" s="18" t="str">
        <x:v>RC-11</x:v>
      </x:c>
      <x:c r="B17" s="18" t="str">
        <x:v>Fatores humanos</x:v>
      </x:c>
      <x:c r="C17" s="18" t="str">
        <x:v>Permitir manuseio e montagem sem ferramenta especial ou ajuste improvisado</x:v>
      </x:c>
      <x:c r="D17" s="18" t="str">
        <x:v>N-13, N-28</x:v>
      </x:c>
      <x:c r="E17" s="30" t="str"/>
      <x:c r="F17" s="30" t="str"/>
      <x:c r="G17" s="30" t="str"/>
      <x:c r="H17" s="30" t="str"/>
      <x:c r="I17" s="30" t="str"/>
    </x:row>
    <x:row r="18" ht="15" hidden="0" customHeight="1">
      <x:c r="A18" s="18" t="str">
        <x:v>RC-12</x:v>
      </x:c>
      <x:c r="B18" s="18" t="str">
        <x:v>Propriedades e espaço</x:v>
      </x:c>
      <x:c r="C18" s="18" t="str">
        <x:v>Ocupar pouco espaço no veículo, no estoque do distribuidor e no canteiro</x:v>
      </x:c>
      <x:c r="D18" s="18" t="str">
        <x:v>N-05, N-18, N-22, N-36</x:v>
      </x:c>
      <x:c r="E18" s="30" t="str"/>
      <x:c r="F18" s="30" t="str"/>
      <x:c r="G18" s="30" t="str"/>
      <x:c r="H18" s="30" t="str"/>
      <x:c r="I18" s="30" t="str"/>
    </x:row>
    <x:row r="19" ht="15" hidden="0" customHeight="1">
      <x:c r="A19" s="18" t="str">
        <x:v>RC-13</x:v>
      </x:c>
      <x:c r="B19" s="18" t="str">
        <x:v>Propriedades e espaço</x:v>
      </x:c>
      <x:c r="C19" s="18" t="str">
        <x:v>Reduzir o volume ocupado quando vazio, fora de uso ou em retorno</x:v>
      </x:c>
      <x:c r="D19" s="18" t="str">
        <x:v>N-36, N-40</x:v>
      </x:c>
      <x:c r="E19" s="30" t="str"/>
      <x:c r="F19" s="30" t="str"/>
      <x:c r="G19" s="30" t="str"/>
      <x:c r="H19" s="30" t="str"/>
      <x:c r="I19" s="30" t="str"/>
    </x:row>
    <x:row r="20" ht="15" hidden="0" customHeight="1">
      <x:c r="A20" s="18" t="str">
        <x:v>RC-14</x:v>
      </x:c>
      <x:c r="B20" s="18" t="str">
        <x:v>Propriedades e espaço</x:v>
      </x:c>
      <x:c r="C20" s="18" t="str">
        <x:v>Ser compatível com o veículo, a unitização e a amarração já utilizados</x:v>
      </x:c>
      <x:c r="D20" s="18" t="str">
        <x:v>N-29</x:v>
      </x:c>
      <x:c r="E20" s="30" t="str"/>
      <x:c r="F20" s="30" t="str"/>
      <x:c r="G20" s="30" t="str"/>
      <x:c r="H20" s="30" t="str"/>
      <x:c r="I20" s="30" t="str"/>
    </x:row>
    <x:row r="21" ht="15" hidden="0" customHeight="1">
      <x:c r="A21" s="18" t="str">
        <x:v>RC-15</x:v>
      </x:c>
      <x:c r="B21" s="18" t="str">
        <x:v>Propriedades e espaço</x:v>
      </x:c>
      <x:c r="C21" s="18" t="str">
        <x:v>Ser empilhável e estável no estoque, no veículo e no canteiro</x:v>
      </x:c>
      <x:c r="D21" s="18" t="str">
        <x:v>N-09, N-36, N-40</x:v>
      </x:c>
      <x:c r="E21" s="30" t="str"/>
      <x:c r="F21" s="30" t="str"/>
      <x:c r="G21" s="30" t="str"/>
      <x:c r="H21" s="30" t="str"/>
      <x:c r="I21" s="30" t="str"/>
    </x:row>
    <x:row r="22" ht="15" hidden="0" customHeight="1">
      <x:c r="A22" s="18" t="str">
        <x:v>RC-16</x:v>
      </x:c>
      <x:c r="B22" s="18" t="str">
        <x:v>Confiabilidade</x:v>
      </x:c>
      <x:c r="C22" s="18" t="str">
        <x:v>Manter desempenho de proteção repetível entre unidades, configurações e entregas</x:v>
      </x:c>
      <x:c r="D22" s="18" t="str">
        <x:v>N-07, N-15, N-21</x:v>
      </x:c>
      <x:c r="E22" s="30" t="str"/>
      <x:c r="F22" s="30" t="str"/>
      <x:c r="G22" s="30" t="str"/>
      <x:c r="H22" s="30" t="str"/>
      <x:c r="I22" s="30" t="str"/>
    </x:row>
    <x:row r="23" ht="15" hidden="0" customHeight="1">
      <x:c r="A23" s="18" t="str">
        <x:v>RC-17</x:v>
      </x:c>
      <x:c r="B23" s="18" t="str">
        <x:v>Confiabilidade</x:v>
      </x:c>
      <x:c r="C23" s="18" t="str">
        <x:v>Permitir inspeção e bloqueio de unidades não conformes antes da expedição</x:v>
      </x:c>
      <x:c r="D23" s="18" t="str">
        <x:v>N-01, N-15</x:v>
      </x:c>
      <x:c r="E23" s="30" t="str"/>
      <x:c r="F23" s="30" t="str"/>
      <x:c r="G23" s="30" t="str"/>
      <x:c r="H23" s="30" t="str"/>
      <x:c r="I23" s="30" t="str"/>
    </x:row>
    <x:row r="24" ht="15" hidden="0" customHeight="1">
      <x:c r="A24" s="18" t="str">
        <x:v>RC-18</x:v>
      </x:c>
      <x:c r="B24" s="18" t="str">
        <x:v>Confiabilidade</x:v>
      </x:c>
      <x:c r="C24" s="18" t="str">
        <x:v>Permitir o rastreamento de configuração, lote, entrega e retorno</x:v>
      </x:c>
      <x:c r="D24" s="18" t="str">
        <x:v>N-06, N-16, N-30, N-39, N-42</x:v>
      </x:c>
      <x:c r="E24" s="30" t="str"/>
      <x:c r="F24" s="30" t="str"/>
      <x:c r="G24" s="30" t="str"/>
      <x:c r="H24" s="30" t="str"/>
      <x:c r="I24" s="30" t="str"/>
    </x:row>
    <x:row r="25" ht="15" hidden="0" customHeight="1">
      <x:c r="A25" s="18" t="str">
        <x:v>RC-19</x:v>
      </x:c>
      <x:c r="B25" s="18" t="str">
        <x:v>Ciclo de vida</x:v>
      </x:c>
      <x:c r="C25" s="18" t="str">
        <x:v>Suportar ciclos repetidos de uso, retorno e rearmazenamento sem perder função</x:v>
      </x:c>
      <x:c r="D25" s="18" t="str">
        <x:v>N-09, N-41</x:v>
      </x:c>
      <x:c r="E25" s="30" t="str"/>
      <x:c r="F25" s="30" t="str"/>
      <x:c r="G25" s="30" t="str"/>
      <x:c r="H25" s="30" t="str"/>
      <x:c r="I25" s="30" t="str"/>
    </x:row>
    <x:row r="26" ht="15" hidden="0" customHeight="1">
      <x:c r="A26" s="18" t="str">
        <x:v>RC-20</x:v>
      </x:c>
      <x:c r="B26" s="18" t="str">
        <x:v>Ciclo de vida</x:v>
      </x:c>
      <x:c r="C26" s="18" t="str">
        <x:v>Resistir às condições reais de estoque, de transporte e de canteiro</x:v>
      </x:c>
      <x:c r="D26" s="18" t="str">
        <x:v>N-19, N-41</x:v>
      </x:c>
      <x:c r="E26" s="30" t="str"/>
      <x:c r="F26" s="30" t="str"/>
      <x:c r="G26" s="30" t="str"/>
      <x:c r="H26" s="30" t="str"/>
      <x:c r="I26" s="30" t="str"/>
    </x:row>
    <x:row r="27" ht="15" hidden="0" customHeight="1">
      <x:c r="A27" s="18" t="str">
        <x:v>RC-21</x:v>
      </x:c>
      <x:c r="B27" s="18" t="str">
        <x:v>Ciclo de vida</x:v>
      </x:c>
      <x:c r="C27" s="18" t="str">
        <x:v>Permitir a identificação e a segregação dos materiais no descarte</x:v>
      </x:c>
      <x:c r="D27" s="18" t="str">
        <x:v>N-43, N-44</x:v>
      </x:c>
      <x:c r="E27" s="30" t="str"/>
      <x:c r="F27" s="30" t="str"/>
      <x:c r="G27" s="30" t="str"/>
      <x:c r="H27" s="30" t="str"/>
      <x:c r="I27" s="30" t="str"/>
    </x:row>
    <x:row r="28" ht="15" hidden="0" customHeight="1">
      <x:c r="A28" s="18" t="str">
        <x:v>RC-22</x:v>
      </x:c>
      <x:c r="B28" s="18" t="str">
        <x:v>Ciclo de vida</x:v>
      </x:c>
      <x:c r="C28" s="18" t="str">
        <x:v>Gerar pouco resíduo no canteiro e na operação do distribuidor</x:v>
      </x:c>
      <x:c r="D28" s="18" t="str">
        <x:v>N-38, N-42</x:v>
      </x:c>
      <x:c r="E28" s="30" t="str"/>
      <x:c r="F28" s="30" t="str"/>
      <x:c r="G28" s="30" t="str"/>
      <x:c r="H28" s="30" t="str"/>
      <x:c r="I28" s="30" t="str"/>
    </x:row>
    <x:row r="29" ht="15" hidden="0" customHeight="1">
      <x:c r="A29" s="18" t="str">
        <x:v>RC-23</x:v>
      </x:c>
      <x:c r="B29" s="18" t="str">
        <x:v>Recursos e manufatura</x:v>
      </x:c>
      <x:c r="C29" s="18" t="str">
        <x:v>Ser composto por componentes padronizados e configurável por montagem final</x:v>
      </x:c>
      <x:c r="D29" s="18" t="str">
        <x:v>N-03, N-10, N-11</x:v>
      </x:c>
      <x:c r="E29" s="30" t="str"/>
      <x:c r="F29" s="30" t="str"/>
      <x:c r="G29" s="30" t="str"/>
      <x:c r="H29" s="30" t="str"/>
      <x:c r="I29" s="30" t="str"/>
    </x:row>
    <x:row r="30" ht="15" hidden="0" customHeight="1">
      <x:c r="A30" s="18" t="str">
        <x:v>RC-24</x:v>
      </x:c>
      <x:c r="B30" s="18" t="str">
        <x:v>Recursos e manufatura</x:v>
      </x:c>
      <x:c r="C30" s="18" t="str">
        <x:v>Ter montagem final rápida e em poucas etapas</x:v>
      </x:c>
      <x:c r="D30" s="18" t="str">
        <x:v>N-11, N-13</x:v>
      </x:c>
      <x:c r="E30" s="30" t="str"/>
      <x:c r="F30" s="30" t="str"/>
      <x:c r="G30" s="30" t="str"/>
      <x:c r="H30" s="30" t="str"/>
      <x:c r="I30" s="30" t="str"/>
    </x:row>
    <x:row r="31" ht="15" hidden="0" customHeight="1">
      <x:c r="A31" s="18" t="str">
        <x:v>RC-25</x:v>
      </x:c>
      <x:c r="B31" s="18" t="str">
        <x:v>Recursos e manufatura</x:v>
      </x:c>
      <x:c r="C31" s="18" t="str">
        <x:v>Usar matérias-primas acessíveis e disponíveis no mercado local</x:v>
      </x:c>
      <x:c r="D31" s="18" t="str">
        <x:v>N-02, N-08</x:v>
      </x:c>
      <x:c r="E31" s="30" t="str"/>
      <x:c r="F31" s="30" t="str"/>
      <x:c r="G31" s="30" t="str"/>
      <x:c r="H31" s="30" t="str"/>
      <x:c r="I31" s="30" t="str"/>
    </x:row>
    <x:row r="32" ht="15" hidden="0" customHeight="1">
      <x:c r="A32" s="18" t="str">
        <x:v>RC-26</x:v>
      </x:c>
      <x:c r="B32" s="18" t="str">
        <x:v>Recursos e manufatura</x:v>
      </x:c>
      <x:c r="C32" s="18" t="str">
        <x:v>Ter custo por ciclo de uso inferior ao custo médio da avaria evitada</x:v>
      </x:c>
      <x:c r="D32" s="18" t="str">
        <x:v>N-08, N-12, N-20</x:v>
      </x:c>
      <x:c r="E32" s="30" t="str"/>
      <x:c r="F32" s="30" t="str"/>
      <x:c r="G32" s="30" t="str"/>
      <x:c r="H32" s="30" t="str"/>
      <x:c r="I32" s="30" t="str"/>
    </x:row>
  </x:sheetData>
  <x:mergeCells>
    <x:mergeCell ref="A2:I2"/>
    <x:mergeCell ref="A4:I4"/>
  </x:mergeCells>
  <x:dataValidations count="2">
    <x:dataValidation type="list" sqref="B7:B32">
      <x:formula1>"Desempenho funcional,Fatores humanos,Propriedades e espaço,Confiabilidade,Ciclo de vida,Recursos e manufatura"</x:formula1>
    </x:dataValidation>
    <x:dataValidation type="list" sqref="G7:G32">
      <x:formula1>"Maximizar,Minimizar,Alvo,Faixa"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C89B3C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0" hidden="0" customWidth="1"/>
    <x:col min="2" max="2" width="62" hidden="0" customWidth="1"/>
    <x:col min="3" max="3" width="18" hidden="0" customWidth="1"/>
    <x:col min="4" max="4" width="17" hidden="0" customWidth="1"/>
    <x:col min="5" max="5" width="14" hidden="0" customWidth="1"/>
    <x:col min="6" max="6" width="22" hidden="0" customWidth="1"/>
    <x:col min="7" max="7" width="24" hidden="0" customWidth="1"/>
    <x:col min="8" max="8" width="42" hidden="0" customWidth="1"/>
    <x:col min="9" max="9" width="14" hidden="0" customWidth="1"/>
  </x:cols>
  <x:sheetData>
    <x:row r="2" ht="30" customHeight="1">
      <x:c r="A2" s="2" t="str">
        <x:v>Priorização dos requisitos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3"/>
      <x:c r="B3" s="3"/>
      <x:c r="C3" s="3"/>
      <x:c r="D3" s="3"/>
      <x:c r="E3" s="3"/>
      <x:c r="F3" s="3"/>
      <x:c r="G3" s="3"/>
      <x:c r="H3" s="3"/>
      <x:c r="I3" s="3"/>
    </x:row>
    <x:row r="4" ht="34" customHeight="1">
      <x:c r="A4" s="6" t="str">
        <x:v>Requisitos da aba 6 já carregados. Combinar classificação de Kano, comparação pareada de Mudge, Pareto e benchmarking. Não preencher pesos sem pesquisa ou decisão registrada.</x:v>
      </x:c>
      <x:c r="B4" s="6"/>
      <x:c r="C4" s="6"/>
      <x:c r="D4" s="6"/>
      <x:c r="E4" s="6"/>
      <x:c r="F4" s="6"/>
      <x:c r="G4" s="6"/>
      <x:c r="H4" s="6"/>
      <x:c r="I4" s="6"/>
    </x:row>
    <x:row r="6" ht="15" hidden="0" customHeight="1">
      <x:c r="A6" s="22" t="str">
        <x:v>ID</x:v>
      </x:c>
      <x:c r="B6" s="22" t="str">
        <x:v>Requisito do cliente</x:v>
      </x:c>
      <x:c r="C6" s="22" t="str">
        <x:v>Kano</x:v>
      </x:c>
      <x:c r="D6" s="22" t="str">
        <x:v>Mudge - pontos</x:v>
      </x:c>
      <x:c r="E6" s="22" t="str">
        <x:v>Mudge - %</x:v>
      </x:c>
      <x:c r="F6" s="22" t="str">
        <x:v>Importância consolidada</x:v>
      </x:c>
      <x:c r="G6" s="22" t="str">
        <x:v>Benchmark</x:v>
      </x:c>
      <x:c r="H6" s="22" t="str">
        <x:v>Justificativa</x:v>
      </x:c>
      <x:c r="I6" s="22" t="str">
        <x:v>Evidência</x:v>
      </x:c>
    </x:row>
    <x:row r="7" ht="15" hidden="0" customHeight="1">
      <x:c r="A7" s="18" t="str">
        <x:v>RC-01</x:v>
      </x:c>
      <x:c r="B7" s="18" t="str">
        <x:v>Limitar impacto, vibração e atrito transmitidos à louça durante todo o percurso</x:v>
      </x:c>
      <x:c r="C7" s="30" t="str"/>
      <x:c r="D7" s="30" t="str"/>
      <x:c r="E7" s="33" t="str"/>
      <x:c r="F7" s="30" t="str"/>
      <x:c r="G7" s="30" t="str"/>
      <x:c r="H7" s="30" t="str"/>
      <x:c r="I7" s="30" t="str"/>
    </x:row>
    <x:row r="8" ht="15" hidden="0" customHeight="1">
      <x:c r="A8" s="18" t="str">
        <x:v>RC-02</x:v>
      </x:c>
      <x:c r="B8" s="18" t="str">
        <x:v>Impedir deslocamento, tombamento e queda da louça no transporte e na movimentação</x:v>
      </x:c>
      <x:c r="C8" s="30" t="str"/>
      <x:c r="D8" s="30" t="str"/>
      <x:c r="E8" s="33" t="str"/>
      <x:c r="F8" s="30" t="str"/>
      <x:c r="G8" s="30" t="str"/>
      <x:c r="H8" s="30" t="str"/>
      <x:c r="I8" s="30" t="str"/>
    </x:row>
    <x:row r="9" ht="15" hidden="0" customHeight="1">
      <x:c r="A9" s="18" t="str">
        <x:v>RC-03</x:v>
      </x:c>
      <x:c r="B9" s="18" t="str">
        <x:v>Acomodar as variações de louça relevantes para a operação do distribuidor</x:v>
      </x:c>
      <x:c r="C9" s="30" t="str"/>
      <x:c r="D9" s="30" t="str"/>
      <x:c r="E9" s="33" t="str"/>
      <x:c r="F9" s="30" t="str"/>
      <x:c r="G9" s="30" t="str"/>
      <x:c r="H9" s="30" t="str"/>
      <x:c r="I9" s="30" t="str"/>
    </x:row>
    <x:row r="10" ht="15" hidden="0" customHeight="1">
      <x:c r="A10" s="18" t="str">
        <x:v>RC-04</x:v>
      </x:c>
      <x:c r="B10" s="18" t="str">
        <x:v>Permitir a verificação da integridade da louça no ato do recebimento</x:v>
      </x:c>
      <x:c r="C10" s="30" t="str"/>
      <x:c r="D10" s="30" t="str"/>
      <x:c r="E10" s="33" t="str"/>
      <x:c r="F10" s="30" t="str"/>
      <x:c r="G10" s="30" t="str"/>
      <x:c r="H10" s="30" t="str"/>
      <x:c r="I10" s="30" t="str"/>
    </x:row>
    <x:row r="11" ht="15" hidden="0" customHeight="1">
      <x:c r="A11" s="18" t="str">
        <x:v>RC-05</x:v>
      </x:c>
      <x:c r="B11" s="18" t="str">
        <x:v>Sinalizar visualmente o uso, o fechamento e a montagem corretos</x:v>
      </x:c>
      <x:c r="C11" s="30" t="str"/>
      <x:c r="D11" s="30" t="str"/>
      <x:c r="E11" s="33" t="str"/>
      <x:c r="F11" s="30" t="str"/>
      <x:c r="G11" s="30" t="str"/>
      <x:c r="H11" s="30" t="str"/>
      <x:c r="I11" s="30" t="str"/>
    </x:row>
    <x:row r="12" ht="15" hidden="0" customHeight="1">
      <x:c r="A12" s="18" t="str">
        <x:v>RC-06</x:v>
      </x:c>
      <x:c r="B12" s="18" t="str">
        <x:v>Não aumentar o tempo de preparação e de conferência em relação à prática atual</x:v>
      </x:c>
      <x:c r="C12" s="30" t="str"/>
      <x:c r="D12" s="30" t="str"/>
      <x:c r="E12" s="33" t="str"/>
      <x:c r="F12" s="30" t="str"/>
      <x:c r="G12" s="30" t="str"/>
      <x:c r="H12" s="30" t="str"/>
      <x:c r="I12" s="30" t="str"/>
    </x:row>
    <x:row r="13" ht="15" hidden="0" customHeight="1">
      <x:c r="A13" s="18" t="str">
        <x:v>RC-07</x:v>
      </x:c>
      <x:c r="B13" s="18" t="str">
        <x:v>Permitir a movimentação por uma ou duas pessoas pelos acessos reais da obra</x:v>
      </x:c>
      <x:c r="C13" s="30" t="str"/>
      <x:c r="D13" s="30" t="str"/>
      <x:c r="E13" s="33" t="str"/>
      <x:c r="F13" s="30" t="str"/>
      <x:c r="G13" s="30" t="str"/>
      <x:c r="H13" s="30" t="str"/>
      <x:c r="I13" s="30" t="str"/>
    </x:row>
    <x:row r="14" ht="15" hidden="0" customHeight="1">
      <x:c r="A14" s="18" t="str">
        <x:v>RC-08</x:v>
      </x:c>
      <x:c r="B14" s="18" t="str">
        <x:v>Evitar esforço excessivo e posturas críticas na carga, na descarga e na movimentação</x:v>
      </x:c>
      <x:c r="C14" s="30" t="str"/>
      <x:c r="D14" s="30" t="str"/>
      <x:c r="E14" s="33" t="str"/>
      <x:c r="F14" s="30" t="str"/>
      <x:c r="G14" s="30" t="str"/>
      <x:c r="H14" s="30" t="str"/>
      <x:c r="I14" s="30" t="str"/>
    </x:row>
    <x:row r="15" ht="15" hidden="0" customHeight="1">
      <x:c r="A15" s="18" t="str">
        <x:v>RC-09</x:v>
      </x:c>
      <x:c r="B15" s="18" t="str">
        <x:v>Permitir a retirada da louça sem contato com arestas cortantes</x:v>
      </x:c>
      <x:c r="C15" s="30" t="str"/>
      <x:c r="D15" s="30" t="str"/>
      <x:c r="E15" s="33" t="str"/>
      <x:c r="F15" s="30" t="str"/>
      <x:c r="G15" s="30" t="str"/>
      <x:c r="H15" s="30" t="str"/>
      <x:c r="I15" s="30" t="str"/>
    </x:row>
    <x:row r="16" ht="15" hidden="0" customHeight="1">
      <x:c r="A16" s="18" t="str">
        <x:v>RC-10</x:v>
      </x:c>
      <x:c r="B16" s="18" t="str">
        <x:v>Ter procedimento de uso simples para serviço rotineiro, sem treinamento formal</x:v>
      </x:c>
      <x:c r="C16" s="30" t="str"/>
      <x:c r="D16" s="30" t="str"/>
      <x:c r="E16" s="33" t="str"/>
      <x:c r="F16" s="30" t="str"/>
      <x:c r="G16" s="30" t="str"/>
      <x:c r="H16" s="30" t="str"/>
      <x:c r="I16" s="30" t="str"/>
    </x:row>
    <x:row r="17" ht="15" hidden="0" customHeight="1">
      <x:c r="A17" s="18" t="str">
        <x:v>RC-11</x:v>
      </x:c>
      <x:c r="B17" s="18" t="str">
        <x:v>Permitir manuseio e montagem sem ferramenta especial ou ajuste improvisado</x:v>
      </x:c>
      <x:c r="C17" s="30" t="str"/>
      <x:c r="D17" s="30" t="str"/>
      <x:c r="E17" s="33" t="str"/>
      <x:c r="F17" s="30" t="str"/>
      <x:c r="G17" s="30" t="str"/>
      <x:c r="H17" s="30" t="str"/>
      <x:c r="I17" s="30" t="str"/>
    </x:row>
    <x:row r="18" ht="15" hidden="0" customHeight="1">
      <x:c r="A18" s="18" t="str">
        <x:v>RC-12</x:v>
      </x:c>
      <x:c r="B18" s="18" t="str">
        <x:v>Ocupar pouco espaço no veículo, no estoque do distribuidor e no canteiro</x:v>
      </x:c>
      <x:c r="C18" s="30" t="str"/>
      <x:c r="D18" s="30" t="str"/>
      <x:c r="E18" s="33" t="str"/>
      <x:c r="F18" s="30" t="str"/>
      <x:c r="G18" s="30" t="str"/>
      <x:c r="H18" s="30" t="str"/>
      <x:c r="I18" s="30" t="str"/>
    </x:row>
    <x:row r="19" ht="15" hidden="0" customHeight="1">
      <x:c r="A19" s="18" t="str">
        <x:v>RC-13</x:v>
      </x:c>
      <x:c r="B19" s="18" t="str">
        <x:v>Reduzir o volume ocupado quando vazio, fora de uso ou em retorno</x:v>
      </x:c>
      <x:c r="C19" s="30" t="str"/>
      <x:c r="D19" s="30" t="str"/>
      <x:c r="E19" s="33" t="str"/>
      <x:c r="F19" s="30" t="str"/>
      <x:c r="G19" s="30" t="str"/>
      <x:c r="H19" s="30" t="str"/>
      <x:c r="I19" s="30" t="str"/>
    </x:row>
    <x:row r="20" ht="15" hidden="0" customHeight="1">
      <x:c r="A20" s="18" t="str">
        <x:v>RC-14</x:v>
      </x:c>
      <x:c r="B20" s="18" t="str">
        <x:v>Ser compatível com o veículo, a unitização e a amarração já utilizados</x:v>
      </x:c>
      <x:c r="C20" s="30" t="str"/>
      <x:c r="D20" s="30" t="str"/>
      <x:c r="E20" s="33" t="str"/>
      <x:c r="F20" s="30" t="str"/>
      <x:c r="G20" s="30" t="str"/>
      <x:c r="H20" s="30" t="str"/>
      <x:c r="I20" s="30" t="str"/>
    </x:row>
    <x:row r="21" ht="15" hidden="0" customHeight="1">
      <x:c r="A21" s="18" t="str">
        <x:v>RC-15</x:v>
      </x:c>
      <x:c r="B21" s="18" t="str">
        <x:v>Ser empilhável e estável no estoque, no veículo e no canteiro</x:v>
      </x:c>
      <x:c r="C21" s="30" t="str"/>
      <x:c r="D21" s="30" t="str"/>
      <x:c r="E21" s="33" t="str"/>
      <x:c r="F21" s="30" t="str"/>
      <x:c r="G21" s="30" t="str"/>
      <x:c r="H21" s="30" t="str"/>
      <x:c r="I21" s="30" t="str"/>
    </x:row>
    <x:row r="22" ht="15" hidden="0" customHeight="1">
      <x:c r="A22" s="18" t="str">
        <x:v>RC-16</x:v>
      </x:c>
      <x:c r="B22" s="18" t="str">
        <x:v>Manter desempenho de proteção repetível entre unidades, configurações e entregas</x:v>
      </x:c>
      <x:c r="C22" s="30" t="str"/>
      <x:c r="D22" s="30" t="str"/>
      <x:c r="E22" s="33" t="str"/>
      <x:c r="F22" s="30" t="str"/>
      <x:c r="G22" s="30" t="str"/>
      <x:c r="H22" s="30" t="str"/>
      <x:c r="I22" s="30" t="str"/>
    </x:row>
    <x:row r="23" ht="15" hidden="0" customHeight="1">
      <x:c r="A23" s="18" t="str">
        <x:v>RC-17</x:v>
      </x:c>
      <x:c r="B23" s="18" t="str">
        <x:v>Permitir inspeção e bloqueio de unidades não conformes antes da expedição</x:v>
      </x:c>
      <x:c r="C23" s="30" t="str"/>
      <x:c r="D23" s="30" t="str"/>
      <x:c r="E23" s="33" t="str"/>
      <x:c r="F23" s="30" t="str"/>
      <x:c r="G23" s="30" t="str"/>
      <x:c r="H23" s="30" t="str"/>
      <x:c r="I23" s="30" t="str"/>
    </x:row>
    <x:row r="24" ht="15" hidden="0" customHeight="1">
      <x:c r="A24" s="18" t="str">
        <x:v>RC-18</x:v>
      </x:c>
      <x:c r="B24" s="18" t="str">
        <x:v>Permitir o rastreamento de configuração, lote, entrega e retorno</x:v>
      </x:c>
      <x:c r="C24" s="30" t="str"/>
      <x:c r="D24" s="30" t="str"/>
      <x:c r="E24" s="33" t="str"/>
      <x:c r="F24" s="30" t="str"/>
      <x:c r="G24" s="30" t="str"/>
      <x:c r="H24" s="30" t="str"/>
      <x:c r="I24" s="30" t="str"/>
    </x:row>
    <x:row r="25" ht="15" hidden="0" customHeight="1">
      <x:c r="A25" s="18" t="str">
        <x:v>RC-19</x:v>
      </x:c>
      <x:c r="B25" s="18" t="str">
        <x:v>Suportar ciclos repetidos de uso, retorno e rearmazenamento sem perder função</x:v>
      </x:c>
      <x:c r="C25" s="30" t="str"/>
      <x:c r="D25" s="30" t="str"/>
      <x:c r="E25" s="33" t="str"/>
      <x:c r="F25" s="30" t="str"/>
      <x:c r="G25" s="30" t="str"/>
      <x:c r="H25" s="30" t="str"/>
      <x:c r="I25" s="30" t="str"/>
    </x:row>
    <x:row r="26" ht="15" hidden="0" customHeight="1">
      <x:c r="A26" s="18" t="str">
        <x:v>RC-20</x:v>
      </x:c>
      <x:c r="B26" s="18" t="str">
        <x:v>Resistir às condições reais de estoque, de transporte e de canteiro</x:v>
      </x:c>
      <x:c r="C26" s="30" t="str"/>
      <x:c r="D26" s="30" t="str"/>
      <x:c r="E26" s="33" t="str"/>
      <x:c r="F26" s="30" t="str"/>
      <x:c r="G26" s="30" t="str"/>
      <x:c r="H26" s="30" t="str"/>
      <x:c r="I26" s="30" t="str"/>
    </x:row>
    <x:row r="27" ht="15" hidden="0" customHeight="1">
      <x:c r="A27" s="18" t="str">
        <x:v>RC-21</x:v>
      </x:c>
      <x:c r="B27" s="18" t="str">
        <x:v>Permitir a identificação e a segregação dos materiais no descarte</x:v>
      </x:c>
      <x:c r="C27" s="30" t="str"/>
      <x:c r="D27" s="30" t="str"/>
      <x:c r="E27" s="33" t="str"/>
      <x:c r="F27" s="30" t="str"/>
      <x:c r="G27" s="30" t="str"/>
      <x:c r="H27" s="30" t="str"/>
      <x:c r="I27" s="30" t="str"/>
    </x:row>
    <x:row r="28" ht="15" hidden="0" customHeight="1">
      <x:c r="A28" s="18" t="str">
        <x:v>RC-22</x:v>
      </x:c>
      <x:c r="B28" s="18" t="str">
        <x:v>Gerar pouco resíduo no canteiro e na operação do distribuidor</x:v>
      </x:c>
      <x:c r="C28" s="30" t="str"/>
      <x:c r="D28" s="30" t="str"/>
      <x:c r="E28" s="33" t="str"/>
      <x:c r="F28" s="30" t="str"/>
      <x:c r="G28" s="30" t="str"/>
      <x:c r="H28" s="30" t="str"/>
      <x:c r="I28" s="30" t="str"/>
    </x:row>
    <x:row r="29" ht="15" hidden="0" customHeight="1">
      <x:c r="A29" s="18" t="str">
        <x:v>RC-23</x:v>
      </x:c>
      <x:c r="B29" s="18" t="str">
        <x:v>Ser composto por componentes padronizados e configurável por montagem final</x:v>
      </x:c>
      <x:c r="C29" s="30" t="str"/>
      <x:c r="D29" s="30" t="str"/>
      <x:c r="E29" s="33" t="str"/>
      <x:c r="F29" s="30" t="str"/>
      <x:c r="G29" s="30" t="str"/>
      <x:c r="H29" s="30" t="str"/>
      <x:c r="I29" s="30" t="str"/>
    </x:row>
    <x:row r="30" ht="15" hidden="0" customHeight="1">
      <x:c r="A30" s="18" t="str">
        <x:v>RC-24</x:v>
      </x:c>
      <x:c r="B30" s="18" t="str">
        <x:v>Ter montagem final rápida e em poucas etapas</x:v>
      </x:c>
      <x:c r="C30" s="30" t="str"/>
      <x:c r="D30" s="30" t="str"/>
      <x:c r="E30" s="33" t="str"/>
      <x:c r="F30" s="30" t="str"/>
      <x:c r="G30" s="30" t="str"/>
      <x:c r="H30" s="30" t="str"/>
      <x:c r="I30" s="30" t="str"/>
    </x:row>
    <x:row r="31" ht="15" hidden="0" customHeight="1">
      <x:c r="A31" s="18" t="str">
        <x:v>RC-25</x:v>
      </x:c>
      <x:c r="B31" s="18" t="str">
        <x:v>Usar matérias-primas acessíveis e disponíveis no mercado local</x:v>
      </x:c>
      <x:c r="C31" s="30" t="str"/>
      <x:c r="D31" s="30" t="str"/>
      <x:c r="E31" s="33" t="str"/>
      <x:c r="F31" s="30" t="str"/>
      <x:c r="G31" s="30" t="str"/>
      <x:c r="H31" s="30" t="str"/>
      <x:c r="I31" s="30" t="str"/>
    </x:row>
    <x:row r="32" ht="15" hidden="0" customHeight="1">
      <x:c r="A32" s="18" t="str">
        <x:v>RC-26</x:v>
      </x:c>
      <x:c r="B32" s="18" t="str">
        <x:v>Ter custo por ciclo de uso inferior ao custo médio da avaria evitada</x:v>
      </x:c>
      <x:c r="C32" s="30" t="str"/>
      <x:c r="D32" s="30" t="str"/>
      <x:c r="E32" s="33" t="str"/>
      <x:c r="F32" s="30" t="str"/>
      <x:c r="G32" s="30" t="str"/>
      <x:c r="H32" s="30" t="str"/>
      <x:c r="I32" s="30" t="str"/>
    </x:row>
  </x:sheetData>
  <x:mergeCells>
    <x:mergeCell ref="A2:I2"/>
    <x:mergeCell ref="A4:I4"/>
  </x:mergeCells>
  <x:dataValidations count="1">
    <x:dataValidation type="list" sqref="C7:C32">
      <x:formula1>"Básico,Desempenho,Atrativo,Indiferente,Reverso,Questionável"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C89B3C"/>
  </x:sheetPr>
  <x:sheetViews>
    <x:sheetView showGridLines="0" workbookViewId="0"/>
  </x:sheetViews>
  <x:sheetFormatPr defaultRowHeight="15"/>
  <x:cols>
    <x:col min="1" max="1" width="38" hidden="0" customWidth="1"/>
    <x:col min="2" max="2" width="1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24" hidden="0" customWidth="1"/>
    <x:col min="8" max="8" width="19" hidden="0" customWidth="1"/>
    <x:col min="9" max="9" width="34" hidden="0" customWidth="1"/>
  </x:cols>
  <x:sheetData>
    <x:row r="2" ht="30" customHeight="1">
      <x:c r="A2" s="2" t="str">
        <x:v>QFD e especificações-meta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3"/>
      <x:c r="B3" s="3"/>
      <x:c r="C3" s="3"/>
      <x:c r="D3" s="3"/>
      <x:c r="E3" s="3"/>
      <x:c r="F3" s="3"/>
      <x:c r="G3" s="3"/>
      <x:c r="H3" s="3"/>
      <x:c r="I3" s="3"/>
    </x:row>
    <x:row r="4" ht="34" customHeight="1">
      <x:c r="A4" s="6" t="str">
        <x:v>Estrutura compacta para a Casa da Qualidade. A correlação técnica, o benchmarking e as metas serão inseridos após validação dos requisitos.</x:v>
      </x:c>
      <x:c r="B4" s="6"/>
      <x:c r="C4" s="6"/>
      <x:c r="D4" s="6"/>
      <x:c r="E4" s="6"/>
      <x:c r="F4" s="6"/>
      <x:c r="G4" s="6"/>
      <x:c r="H4" s="6"/>
      <x:c r="I4" s="6"/>
    </x:row>
    <x:row r="6" ht="30" customHeight="1">
      <x:c r="A6" s="22" t="str">
        <x:v>Requisito do cliente</x:v>
      </x:c>
      <x:c r="B6" s="22" t="str">
        <x:v>Importância</x:v>
      </x:c>
      <x:c r="C6" s="22" t="str">
        <x:v>Req. técnico 1</x:v>
      </x:c>
      <x:c r="D6" s="22" t="str">
        <x:v>Req. técnico 2</x:v>
      </x:c>
      <x:c r="E6" s="22" t="str">
        <x:v>Req. técnico 3</x:v>
      </x:c>
      <x:c r="F6" s="22" t="str">
        <x:v>Req. técnico 4</x:v>
      </x:c>
      <x:c r="G6" s="22" t="str">
        <x:v>Benchmark</x:v>
      </x:c>
      <x:c r="H6" s="22" t="str">
        <x:v>Prioridade técnica</x:v>
      </x:c>
      <x:c r="I6" s="22" t="str">
        <x:v>Observação</x:v>
      </x:c>
    </x:row>
    <x:row r="7" ht="30" customHeight="1">
      <x:c r="A7" s="30" t="str"/>
      <x:c r="B7" s="30" t="str"/>
      <x:c r="C7" s="30" t="str"/>
      <x:c r="D7" s="30" t="str"/>
      <x:c r="E7" s="30" t="str"/>
      <x:c r="F7" s="30" t="str"/>
      <x:c r="G7" s="30" t="str"/>
      <x:c r="H7" s="30" t="str"/>
      <x:c r="I7" s="30" t="str"/>
    </x:row>
    <x:row r="8" ht="30" customHeight="1">
      <x:c r="A8" s="30" t="str"/>
      <x:c r="B8" s="30" t="str"/>
      <x:c r="C8" s="30" t="str"/>
      <x:c r="D8" s="30" t="str"/>
      <x:c r="E8" s="30" t="str"/>
      <x:c r="F8" s="30" t="str"/>
      <x:c r="G8" s="30" t="str"/>
      <x:c r="H8" s="30" t="str"/>
      <x:c r="I8" s="30" t="str"/>
    </x:row>
    <x:row r="9" ht="30" customHeight="1">
      <x:c r="A9" s="30" t="str"/>
      <x:c r="B9" s="30" t="str"/>
      <x:c r="C9" s="30" t="str"/>
      <x:c r="D9" s="30" t="str"/>
      <x:c r="E9" s="30" t="str"/>
      <x:c r="F9" s="30" t="str"/>
      <x:c r="G9" s="30" t="str"/>
      <x:c r="H9" s="30" t="str"/>
      <x:c r="I9" s="30" t="str"/>
    </x:row>
    <x:row r="10" ht="30" customHeight="1">
      <x:c r="A10" s="30" t="str"/>
      <x:c r="B10" s="30" t="str"/>
      <x:c r="C10" s="30" t="str"/>
      <x:c r="D10" s="30" t="str"/>
      <x:c r="E10" s="30" t="str"/>
      <x:c r="F10" s="30" t="str"/>
      <x:c r="G10" s="30" t="str"/>
      <x:c r="H10" s="30" t="str"/>
      <x:c r="I10" s="30" t="str"/>
    </x:row>
    <x:row r="11" ht="30" customHeight="1">
      <x:c r="A11" s="30" t="str"/>
      <x:c r="B11" s="30" t="str"/>
      <x:c r="C11" s="30" t="str"/>
      <x:c r="D11" s="30" t="str"/>
      <x:c r="E11" s="30" t="str"/>
      <x:c r="F11" s="30" t="str"/>
      <x:c r="G11" s="30" t="str"/>
      <x:c r="H11" s="30" t="str"/>
      <x:c r="I11" s="30" t="str"/>
    </x:row>
    <x:row r="12" ht="30" customHeight="1">
      <x:c r="A12" s="30" t="str"/>
      <x:c r="B12" s="30" t="str"/>
      <x:c r="C12" s="30" t="str"/>
      <x:c r="D12" s="30" t="str"/>
      <x:c r="E12" s="30" t="str"/>
      <x:c r="F12" s="30" t="str"/>
      <x:c r="G12" s="30" t="str"/>
      <x:c r="H12" s="30" t="str"/>
      <x:c r="I12" s="30" t="str"/>
    </x:row>
    <x:row r="13" ht="30" customHeight="1">
      <x:c r="A13" s="30" t="str"/>
      <x:c r="B13" s="30" t="str"/>
      <x:c r="C13" s="30" t="str"/>
      <x:c r="D13" s="30" t="str"/>
      <x:c r="E13" s="30" t="str"/>
      <x:c r="F13" s="30" t="str"/>
      <x:c r="G13" s="30" t="str"/>
      <x:c r="H13" s="30" t="str"/>
      <x:c r="I13" s="30" t="str"/>
    </x:row>
    <x:row r="14" ht="30" customHeight="1">
      <x:c r="A14" s="30" t="str"/>
      <x:c r="B14" s="30" t="str"/>
      <x:c r="C14" s="30" t="str"/>
      <x:c r="D14" s="30" t="str"/>
      <x:c r="E14" s="30" t="str"/>
      <x:c r="F14" s="30" t="str"/>
      <x:c r="G14" s="30" t="str"/>
      <x:c r="H14" s="30" t="str"/>
      <x:c r="I14" s="30" t="str"/>
    </x:row>
    <x:row r="15" ht="30" customHeight="1">
      <x:c r="A15" s="30" t="str"/>
      <x:c r="B15" s="30" t="str"/>
      <x:c r="C15" s="30" t="str"/>
      <x:c r="D15" s="30" t="str"/>
      <x:c r="E15" s="30" t="str"/>
      <x:c r="F15" s="30" t="str"/>
      <x:c r="G15" s="30" t="str"/>
      <x:c r="H15" s="30" t="str"/>
      <x:c r="I15" s="30" t="str"/>
    </x:row>
    <x:row r="16" ht="30" customHeight="1">
      <x:c r="A16" s="30" t="str"/>
      <x:c r="B16" s="30" t="str"/>
      <x:c r="C16" s="30" t="str"/>
      <x:c r="D16" s="30" t="str"/>
      <x:c r="E16" s="30" t="str"/>
      <x:c r="F16" s="30" t="str"/>
      <x:c r="G16" s="30" t="str"/>
      <x:c r="H16" s="30" t="str"/>
      <x:c r="I16" s="30" t="str"/>
    </x:row>
    <x:row r="17" ht="30" customHeight="1">
      <x:c r="A17" s="18" t="str">
        <x:v>Legenda</x:v>
      </x:c>
      <x:c r="B17" s="18" t="str">
        <x:v>1 fraca</x:v>
      </x:c>
      <x:c r="C17" s="18" t="str">
        <x:v>3 média</x:v>
      </x:c>
      <x:c r="D17" s="18" t="str">
        <x:v>5 forte</x:v>
      </x:c>
      <x:c r="E17" s="18" t="str"/>
      <x:c r="F17" s="18" t="str"/>
      <x:c r="G17" s="18" t="str"/>
      <x:c r="H17" s="18" t="str"/>
      <x:c r="I17" s="18" t="str"/>
    </x:row>
  </x:sheetData>
  <x:mergeCells>
    <x:mergeCell ref="A2:I2"/>
    <x:mergeCell ref="A4:I4"/>
  </x:mergeCells>
  <x:dataValidations count="2">
    <x:dataValidation type="whole" operator="between" sqref="B7:B16">
      <x:formula1>1</x:formula1>
      <x:formula2>5</x:formula2>
    </x:dataValidation>
    <x:dataValidation type="list" sqref="C7:F16">
      <x:formula1>"0,1,3,5"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C89B3C"/>
  </x:sheetPr>
  <x:sheetViews>
    <x:sheetView showGridLines="0" workbookViewId="0"/>
  </x:sheetViews>
  <x:sheetFormatPr defaultRowHeight="15"/>
  <x:cols>
    <x:col min="1" max="1" width="28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18" hidden="0" customWidth="1"/>
    <x:col min="7" max="7" width="18" hidden="0" customWidth="1"/>
    <x:col min="8" max="8" width="24" hidden="0" customWidth="1"/>
  </x:cols>
  <x:sheetData>
    <x:row r="2" ht="30" customHeight="1">
      <x:c r="A2" s="2" t="str">
        <x:v>Modelagem funcional e princípios de solução</x:v>
      </x:c>
      <x:c r="B2" s="2"/>
      <x:c r="C2" s="2"/>
      <x:c r="D2" s="2"/>
      <x:c r="E2" s="2"/>
      <x:c r="F2" s="2"/>
      <x:c r="G2" s="2"/>
      <x:c r="H2" s="2"/>
    </x:row>
    <x:row r="3">
      <x:c r="A3" s="3"/>
      <x:c r="B3" s="3"/>
      <x:c r="C3" s="3"/>
      <x:c r="D3" s="3"/>
      <x:c r="E3" s="3"/>
      <x:c r="F3" s="3"/>
      <x:c r="G3" s="3"/>
      <x:c r="H3" s="3"/>
    </x:row>
    <x:row r="4" ht="34" customHeight="1">
      <x:c r="A4" s="6" t="str">
        <x:v>Partir das especificações-meta, abstrair a forma, selecionar uma estrutura funcional e só então combinar princípios de solução.</x:v>
      </x:c>
      <x:c r="B4" s="6"/>
      <x:c r="C4" s="6"/>
      <x:c r="D4" s="6"/>
      <x:c r="E4" s="6"/>
      <x:c r="F4" s="6"/>
      <x:c r="G4" s="6"/>
      <x:c r="H4" s="6"/>
    </x:row>
    <x:row r="6" ht="23" customHeight="1">
      <x:c r="A6" s="14" t="str">
        <x:v>Estrutura funcional</x:v>
      </x:c>
      <x:c r="B6" s="14"/>
      <x:c r="C6" s="14"/>
      <x:c r="D6" s="14"/>
      <x:c r="E6" s="14"/>
      <x:c r="F6" s="14"/>
      <x:c r="G6" s="14"/>
      <x:c r="H6" s="14"/>
    </x:row>
    <x:row r="7" ht="32" customHeight="1">
      <x:c r="A7" s="22" t="str">
        <x:v>ID</x:v>
      </x:c>
      <x:c r="B7" s="22" t="str">
        <x:v>Função</x:v>
      </x:c>
      <x:c r="C7" s="22" t="str">
        <x:v>Entrada</x:v>
      </x:c>
      <x:c r="D7" s="22" t="str">
        <x:v>Saída</x:v>
      </x:c>
      <x:c r="E7" s="22" t="str">
        <x:v>Fluxo</x:v>
      </x:c>
      <x:c r="F7" s="22" t="str">
        <x:v>Restrição</x:v>
      </x:c>
      <x:c r="G7" s="22" t="str">
        <x:v>Estrutura candidata</x:v>
      </x:c>
      <x:c r="H7" s="22" t="str">
        <x:v>Fonte</x:v>
      </x:c>
    </x:row>
    <x:row r="8" ht="32" customHeight="1">
      <x:c r="A8" s="18" t="str">
        <x:v>F-01</x:v>
      </x:c>
      <x:c r="B8" s="30" t="str"/>
      <x:c r="C8" s="30" t="str"/>
      <x:c r="D8" s="30" t="str"/>
      <x:c r="E8" s="30" t="str"/>
      <x:c r="F8" s="30" t="str"/>
      <x:c r="G8" s="30" t="str"/>
      <x:c r="H8" s="30" t="str"/>
    </x:row>
    <x:row r="9" ht="32" customHeight="1">
      <x:c r="A9" s="18" t="str">
        <x:v>F-02</x:v>
      </x:c>
      <x:c r="B9" s="30" t="str"/>
      <x:c r="C9" s="30" t="str"/>
      <x:c r="D9" s="30" t="str"/>
      <x:c r="E9" s="30" t="str"/>
      <x:c r="F9" s="30" t="str"/>
      <x:c r="G9" s="30" t="str"/>
      <x:c r="H9" s="30" t="str"/>
    </x:row>
    <x:row r="10" ht="32" customHeight="1">
      <x:c r="A10" s="18" t="str">
        <x:v>F-03</x:v>
      </x:c>
      <x:c r="B10" s="30" t="str"/>
      <x:c r="C10" s="30" t="str"/>
      <x:c r="D10" s="30" t="str"/>
      <x:c r="E10" s="30" t="str"/>
      <x:c r="F10" s="30" t="str"/>
      <x:c r="G10" s="30" t="str"/>
      <x:c r="H10" s="30" t="str"/>
    </x:row>
    <x:row r="11" ht="32" customHeight="1">
      <x:c r="A11" s="18" t="str">
        <x:v>F-04</x:v>
      </x:c>
      <x:c r="B11" s="30" t="str"/>
      <x:c r="C11" s="30" t="str"/>
      <x:c r="D11" s="30" t="str"/>
      <x:c r="E11" s="30" t="str"/>
      <x:c r="F11" s="30" t="str"/>
      <x:c r="G11" s="30" t="str"/>
      <x:c r="H11" s="30" t="str"/>
    </x:row>
    <x:row r="12" ht="32" customHeight="1">
      <x:c r="A12" s="18" t="str">
        <x:v>F-05</x:v>
      </x:c>
      <x:c r="B12" s="30" t="str"/>
      <x:c r="C12" s="30" t="str"/>
      <x:c r="D12" s="30" t="str"/>
      <x:c r="E12" s="30" t="str"/>
      <x:c r="F12" s="30" t="str"/>
      <x:c r="G12" s="30" t="str"/>
      <x:c r="H12" s="30" t="str"/>
    </x:row>
    <x:row r="13" ht="32" customHeight="1">
      <x:c r="A13" s="18" t="str">
        <x:v>F-06</x:v>
      </x:c>
      <x:c r="B13" s="30" t="str"/>
      <x:c r="C13" s="30" t="str"/>
      <x:c r="D13" s="30" t="str"/>
      <x:c r="E13" s="30" t="str"/>
      <x:c r="F13" s="30" t="str"/>
      <x:c r="G13" s="30" t="str"/>
      <x:c r="H13" s="30" t="str"/>
    </x:row>
    <x:row r="14" ht="32" customHeight="1">
      <x:c r="A14" s="18" t="str">
        <x:v>F-07</x:v>
      </x:c>
      <x:c r="B14" s="30" t="str"/>
      <x:c r="C14" s="30" t="str"/>
      <x:c r="D14" s="30" t="str"/>
      <x:c r="E14" s="30" t="str"/>
      <x:c r="F14" s="30" t="str"/>
      <x:c r="G14" s="30" t="str"/>
      <x:c r="H14" s="30" t="str"/>
    </x:row>
    <x:row r="15" ht="32" customHeight="1"/>
    <x:row r="16" ht="32" customHeight="1">
      <x:c r="A16" s="14" t="str">
        <x:v>Matriz morfológica</x:v>
      </x:c>
      <x:c r="B16" s="14"/>
      <x:c r="C16" s="14"/>
      <x:c r="D16" s="14"/>
      <x:c r="E16" s="14"/>
      <x:c r="F16" s="14"/>
      <x:c r="G16" s="14"/>
      <x:c r="H16" s="14"/>
    </x:row>
    <x:row r="17" ht="32" customHeight="1">
      <x:c r="A17" s="22" t="str">
        <x:v>Função elementar</x:v>
      </x:c>
      <x:c r="B17" s="22" t="str">
        <x:v>Princípio 1</x:v>
      </x:c>
      <x:c r="C17" s="22" t="str">
        <x:v>Princípio 2</x:v>
      </x:c>
      <x:c r="D17" s="22" t="str">
        <x:v>Princípio 3</x:v>
      </x:c>
      <x:c r="E17" s="22" t="str">
        <x:v>Princípio 4</x:v>
      </x:c>
      <x:c r="F17" s="22" t="str">
        <x:v>Combinação A</x:v>
      </x:c>
      <x:c r="G17" s="22" t="str">
        <x:v>Combinação B</x:v>
      </x:c>
      <x:c r="H17" s="22" t="str">
        <x:v>Compatibilidade</x:v>
      </x:c>
    </x:row>
    <x:row r="18" ht="32" customHeight="1">
      <x:c r="A18" s="18" t="str"/>
      <x:c r="B18" s="18" t="str"/>
      <x:c r="C18" s="18" t="str"/>
      <x:c r="D18" s="18" t="str"/>
      <x:c r="E18" s="18" t="str"/>
      <x:c r="F18" s="18" t="str"/>
      <x:c r="G18" s="18" t="str"/>
      <x:c r="H18" s="18" t="str"/>
    </x:row>
    <x:row r="19" ht="32" customHeight="1">
      <x:c r="A19" s="18" t="str"/>
      <x:c r="B19" s="18" t="str"/>
      <x:c r="C19" s="18" t="str"/>
      <x:c r="D19" s="18" t="str"/>
      <x:c r="E19" s="18" t="str"/>
      <x:c r="F19" s="18" t="str"/>
      <x:c r="G19" s="18" t="str"/>
      <x:c r="H19" s="18" t="str"/>
    </x:row>
    <x:row r="20" ht="32" customHeight="1">
      <x:c r="A20" s="18" t="str"/>
      <x:c r="B20" s="18" t="str"/>
      <x:c r="C20" s="18" t="str"/>
      <x:c r="D20" s="18" t="str"/>
      <x:c r="E20" s="18" t="str"/>
      <x:c r="F20" s="18" t="str"/>
      <x:c r="G20" s="18" t="str"/>
      <x:c r="H20" s="18" t="str"/>
    </x:row>
    <x:row r="21" ht="32" customHeight="1">
      <x:c r="A21" s="18" t="str"/>
      <x:c r="B21" s="18" t="str"/>
      <x:c r="C21" s="18" t="str"/>
      <x:c r="D21" s="18" t="str"/>
      <x:c r="E21" s="18" t="str"/>
      <x:c r="F21" s="18" t="str"/>
      <x:c r="G21" s="18" t="str"/>
      <x:c r="H21" s="18" t="str"/>
    </x:row>
    <x:row r="22" ht="32" customHeight="1">
      <x:c r="A22" s="18" t="str"/>
      <x:c r="B22" s="18" t="str"/>
      <x:c r="C22" s="18" t="str"/>
      <x:c r="D22" s="18" t="str"/>
      <x:c r="E22" s="18" t="str"/>
      <x:c r="F22" s="18" t="str"/>
      <x:c r="G22" s="18" t="str"/>
      <x:c r="H22" s="18" t="str"/>
    </x:row>
    <x:row r="23" ht="32" customHeight="1">
      <x:c r="A23" s="18" t="str"/>
      <x:c r="B23" s="18" t="str"/>
      <x:c r="C23" s="18" t="str"/>
      <x:c r="D23" s="18" t="str"/>
      <x:c r="E23" s="18" t="str"/>
      <x:c r="F23" s="18" t="str"/>
      <x:c r="G23" s="18" t="str"/>
      <x:c r="H23" s="18" t="str"/>
    </x:row>
    <x:row r="24" ht="32" customHeight="1">
      <x:c r="A24" s="18" t="str"/>
      <x:c r="B24" s="18" t="str"/>
      <x:c r="C24" s="18" t="str"/>
      <x:c r="D24" s="18" t="str"/>
      <x:c r="E24" s="18" t="str"/>
      <x:c r="F24" s="18" t="str"/>
      <x:c r="G24" s="18" t="str"/>
      <x:c r="H24" s="18" t="str"/>
    </x:row>
  </x:sheetData>
  <x:mergeCells>
    <x:mergeCell ref="A2:H2"/>
    <x:mergeCell ref="A4:H4"/>
    <x:mergeCell ref="A6:H6"/>
    <x:mergeCell ref="A16:H16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C89B3C"/>
  </x:sheetPr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40" hidden="0" customWidth="1"/>
    <x:col min="8" max="8" width="24" hidden="0" customWidth="1"/>
  </x:cols>
  <x:sheetData>
    <x:row r="2" ht="30" customHeight="1">
      <x:c r="A2" s="2" t="str">
        <x:v>Seleção de concepções e arquitetura</x:v>
      </x:c>
      <x:c r="B2" s="2"/>
      <x:c r="C2" s="2"/>
      <x:c r="D2" s="2"/>
      <x:c r="E2" s="2"/>
      <x:c r="F2" s="2"/>
      <x:c r="G2" s="2"/>
      <x:c r="H2" s="2"/>
    </x:row>
    <x:row r="3">
      <x:c r="A3" s="3"/>
      <x:c r="B3" s="3"/>
      <x:c r="C3" s="3"/>
      <x:c r="D3" s="3"/>
      <x:c r="E3" s="3"/>
      <x:c r="F3" s="3"/>
      <x:c r="G3" s="3"/>
      <x:c r="H3" s="3"/>
    </x:row>
    <x:row r="4" ht="34" customHeight="1">
      <x:c r="A4" s="6" t="str">
        <x:v>Matrizes de Pugh e MIM devem usar critérios rastreáveis às especificações-meta e decisões justificadas.</x:v>
      </x:c>
      <x:c r="B4" s="6"/>
      <x:c r="C4" s="6"/>
      <x:c r="D4" s="6"/>
      <x:c r="E4" s="6"/>
      <x:c r="F4" s="6"/>
      <x:c r="G4" s="6"/>
      <x:c r="H4" s="6"/>
    </x:row>
    <x:row r="6" ht="23" customHeight="1">
      <x:c r="A6" s="14" t="str">
        <x:v>Matriz de Pugh</x:v>
      </x:c>
      <x:c r="B6" s="14"/>
      <x:c r="C6" s="14"/>
      <x:c r="D6" s="14"/>
      <x:c r="E6" s="14"/>
      <x:c r="F6" s="14"/>
      <x:c r="G6" s="14"/>
      <x:c r="H6" s="14"/>
    </x:row>
    <x:row r="7" ht="31" customHeight="1">
      <x:c r="A7" s="22" t="str">
        <x:v>Critério</x:v>
      </x:c>
      <x:c r="B7" s="22" t="str">
        <x:v>Peso</x:v>
      </x:c>
      <x:c r="C7" s="22" t="str">
        <x:v>Datum</x:v>
      </x:c>
      <x:c r="D7" s="22" t="str">
        <x:v>Concepção A</x:v>
      </x:c>
      <x:c r="E7" s="22" t="str">
        <x:v>Concepção B</x:v>
      </x:c>
      <x:c r="F7" s="22" t="str">
        <x:v>Concepção C</x:v>
      </x:c>
      <x:c r="G7" s="22" t="str">
        <x:v>Justificativa</x:v>
      </x:c>
      <x:c r="H7" s="22" t="str">
        <x:v>Evidência</x:v>
      </x:c>
    </x:row>
    <x:row r="8" ht="31" customHeight="1">
      <x:c r="A8" s="18" t="str"/>
      <x:c r="B8" s="30" t="str"/>
      <x:c r="C8" s="30" t="str"/>
      <x:c r="D8" s="30" t="str"/>
      <x:c r="E8" s="30" t="str"/>
      <x:c r="F8" s="30" t="str"/>
      <x:c r="G8" s="30" t="str"/>
      <x:c r="H8" s="30" t="str"/>
    </x:row>
    <x:row r="9" ht="31" customHeight="1">
      <x:c r="A9" s="18" t="str"/>
      <x:c r="B9" s="30" t="str"/>
      <x:c r="C9" s="30" t="str"/>
      <x:c r="D9" s="30" t="str"/>
      <x:c r="E9" s="30" t="str"/>
      <x:c r="F9" s="30" t="str"/>
      <x:c r="G9" s="30" t="str"/>
      <x:c r="H9" s="30" t="str"/>
    </x:row>
    <x:row r="10" ht="31" customHeight="1">
      <x:c r="A10" s="18" t="str"/>
      <x:c r="B10" s="30" t="str"/>
      <x:c r="C10" s="30" t="str"/>
      <x:c r="D10" s="30" t="str"/>
      <x:c r="E10" s="30" t="str"/>
      <x:c r="F10" s="30" t="str"/>
      <x:c r="G10" s="30" t="str"/>
      <x:c r="H10" s="30" t="str"/>
    </x:row>
    <x:row r="11" ht="31" customHeight="1">
      <x:c r="A11" s="18" t="str"/>
      <x:c r="B11" s="30" t="str"/>
      <x:c r="C11" s="30" t="str"/>
      <x:c r="D11" s="30" t="str"/>
      <x:c r="E11" s="30" t="str"/>
      <x:c r="F11" s="30" t="str"/>
      <x:c r="G11" s="30" t="str"/>
      <x:c r="H11" s="30" t="str"/>
    </x:row>
    <x:row r="12" ht="31" customHeight="1">
      <x:c r="A12" s="18" t="str"/>
      <x:c r="B12" s="30" t="str"/>
      <x:c r="C12" s="30" t="str"/>
      <x:c r="D12" s="30" t="str"/>
      <x:c r="E12" s="30" t="str"/>
      <x:c r="F12" s="30" t="str"/>
      <x:c r="G12" s="30" t="str"/>
      <x:c r="H12" s="30" t="str"/>
    </x:row>
    <x:row r="13" ht="31" customHeight="1">
      <x:c r="A13" s="18" t="str"/>
      <x:c r="B13" s="30" t="str"/>
      <x:c r="C13" s="30" t="str"/>
      <x:c r="D13" s="30" t="str"/>
      <x:c r="E13" s="30" t="str"/>
      <x:c r="F13" s="30" t="str"/>
      <x:c r="G13" s="30" t="str"/>
      <x:c r="H13" s="30" t="str"/>
    </x:row>
    <x:row r="14" ht="31" customHeight="1">
      <x:c r="A14" s="18" t="str"/>
      <x:c r="B14" s="30" t="str"/>
      <x:c r="C14" s="30" t="str"/>
      <x:c r="D14" s="30" t="str"/>
      <x:c r="E14" s="30" t="str"/>
      <x:c r="F14" s="30" t="str"/>
      <x:c r="G14" s="30" t="str"/>
      <x:c r="H14" s="30" t="str"/>
    </x:row>
    <x:row r="15" ht="31" customHeight="1">
      <x:c r="A15" s="18"/>
      <x:c r="B15" s="30"/>
      <x:c r="C15" s="30"/>
      <x:c r="D15" s="30"/>
      <x:c r="E15" s="30"/>
      <x:c r="F15" s="30"/>
      <x:c r="G15" s="30"/>
      <x:c r="H15" s="30"/>
    </x:row>
    <x:row r="16" ht="31" customHeight="1"/>
    <x:row r="17" ht="31" customHeight="1">
      <x:c r="A17" s="14" t="str">
        <x:v>Direcionadores de módulos</x:v>
      </x:c>
      <x:c r="B17" s="14"/>
      <x:c r="C17" s="14"/>
      <x:c r="D17" s="14"/>
      <x:c r="E17" s="14"/>
      <x:c r="F17" s="14"/>
      <x:c r="G17" s="14"/>
      <x:c r="H17" s="14"/>
    </x:row>
    <x:row r="18" ht="31" customHeight="1">
      <x:c r="A18" s="22" t="str">
        <x:v>Função/solução</x:v>
      </x:c>
      <x:c r="B18" s="22" t="str">
        <x:v>Carry-over</x:v>
      </x:c>
      <x:c r="C18" s="22" t="str">
        <x:v>Evolução tecnológica</x:v>
      </x:c>
      <x:c r="D18" s="22" t="str">
        <x:v>Variação</x:v>
      </x:c>
      <x:c r="E18" s="22" t="str">
        <x:v>Fabricação</x:v>
      </x:c>
      <x:c r="F18" s="22" t="str">
        <x:v>Teste separado</x:v>
      </x:c>
      <x:c r="G18" s="22" t="str">
        <x:v>Pós-venda/fim de vida</x:v>
      </x:c>
      <x:c r="H18" s="22" t="str">
        <x:v>Módulo proposto</x:v>
      </x:c>
    </x:row>
    <x:row r="19" ht="31" customHeight="1">
      <x:c r="A19" s="18" t="str"/>
      <x:c r="B19" s="18" t="str"/>
      <x:c r="C19" s="18" t="str"/>
      <x:c r="D19" s="18" t="str"/>
      <x:c r="E19" s="18" t="str"/>
      <x:c r="F19" s="18" t="str"/>
      <x:c r="G19" s="18" t="str"/>
      <x:c r="H19" s="18" t="str"/>
    </x:row>
    <x:row r="20" ht="31" customHeight="1">
      <x:c r="A20" s="18" t="str"/>
      <x:c r="B20" s="18" t="str"/>
      <x:c r="C20" s="18" t="str"/>
      <x:c r="D20" s="18" t="str"/>
      <x:c r="E20" s="18" t="str"/>
      <x:c r="F20" s="18" t="str"/>
      <x:c r="G20" s="18" t="str"/>
      <x:c r="H20" s="18" t="str"/>
    </x:row>
    <x:row r="21" ht="31" customHeight="1">
      <x:c r="A21" s="18" t="str"/>
      <x:c r="B21" s="18" t="str"/>
      <x:c r="C21" s="18" t="str"/>
      <x:c r="D21" s="18" t="str"/>
      <x:c r="E21" s="18" t="str"/>
      <x:c r="F21" s="18" t="str"/>
      <x:c r="G21" s="18" t="str"/>
      <x:c r="H21" s="18" t="str"/>
    </x:row>
    <x:row r="22" ht="31" customHeight="1">
      <x:c r="A22" s="18" t="str"/>
      <x:c r="B22" s="18" t="str"/>
      <x:c r="C22" s="18" t="str"/>
      <x:c r="D22" s="18" t="str"/>
      <x:c r="E22" s="18" t="str"/>
      <x:c r="F22" s="18" t="str"/>
      <x:c r="G22" s="18" t="str"/>
      <x:c r="H22" s="18" t="str"/>
    </x:row>
    <x:row r="23" ht="31" customHeight="1">
      <x:c r="A23" s="18" t="str"/>
      <x:c r="B23" s="18" t="str"/>
      <x:c r="C23" s="18" t="str"/>
      <x:c r="D23" s="18" t="str"/>
      <x:c r="E23" s="18" t="str"/>
      <x:c r="F23" s="18" t="str"/>
      <x:c r="G23" s="18" t="str"/>
      <x:c r="H23" s="18" t="str"/>
    </x:row>
    <x:row r="24" ht="31" customHeight="1">
      <x:c r="A24" s="18" t="str"/>
      <x:c r="B24" s="18" t="str"/>
      <x:c r="C24" s="18" t="str"/>
      <x:c r="D24" s="18" t="str"/>
      <x:c r="E24" s="18" t="str"/>
      <x:c r="F24" s="18" t="str"/>
      <x:c r="G24" s="18" t="str"/>
      <x:c r="H24" s="18" t="str"/>
    </x:row>
    <x:row r="25" ht="31" customHeight="1">
      <x:c r="A25" s="18" t="str"/>
      <x:c r="B25" s="18" t="str"/>
      <x:c r="C25" s="18" t="str"/>
      <x:c r="D25" s="18" t="str"/>
      <x:c r="E25" s="18" t="str"/>
      <x:c r="F25" s="18" t="str"/>
      <x:c r="G25" s="18" t="str"/>
      <x:c r="H25" s="18" t="str"/>
    </x:row>
  </x:sheetData>
  <x:mergeCells>
    <x:mergeCell ref="A2:H2"/>
    <x:mergeCell ref="A4:H4"/>
    <x:mergeCell ref="A6:H6"/>
    <x:mergeCell ref="A17:H17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C89B3C"/>
  </x:sheetPr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20" hidden="0" customWidth="1"/>
    <x:col min="4" max="4" width="2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34" hidden="0" customWidth="1"/>
    <x:col min="10" max="10" width="34" hidden="0" customWidth="1"/>
  </x:cols>
  <x:sheetData>
    <x:row r="2" ht="30" customHeight="1">
      <x:c r="A2" s="2" t="str">
        <x:v>Análise de valor e riscos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34" customHeight="1">
      <x:c r="A4" s="6" t="str">
        <x:v>Consolidar valor por função e modos de falha somente depois da definição da concepção e da arquitetura.</x:v>
      </x:c>
      <x:c r="B4" s="6"/>
      <x:c r="C4" s="6"/>
      <x:c r="D4" s="6"/>
      <x:c r="E4" s="6"/>
      <x:c r="F4" s="6"/>
      <x:c r="G4" s="6"/>
      <x:c r="H4" s="6"/>
      <x:c r="I4" s="6"/>
      <x:c r="J4" s="6"/>
    </x:row>
    <x:row r="6" ht="23" customHeight="1">
      <x:c r="A6" s="14" t="str">
        <x:v>FMEA do produto</x:v>
      </x:c>
      <x:c r="B6" s="14"/>
      <x:c r="C6" s="14"/>
      <x:c r="D6" s="14"/>
      <x:c r="E6" s="14"/>
      <x:c r="F6" s="14"/>
      <x:c r="G6" s="14"/>
      <x:c r="H6" s="14"/>
      <x:c r="I6" s="14"/>
      <x:c r="J6" s="14"/>
    </x:row>
    <x:row r="7" ht="32" customHeight="1">
      <x:c r="A7" s="22" t="str">
        <x:v>Função</x:v>
      </x:c>
      <x:c r="B7" s="22" t="str">
        <x:v>Modo de falha</x:v>
      </x:c>
      <x:c r="C7" s="22" t="str">
        <x:v>Efeito</x:v>
      </x:c>
      <x:c r="D7" s="22" t="str">
        <x:v>Causa</x:v>
      </x:c>
      <x:c r="E7" s="22" t="str">
        <x:v>S</x:v>
      </x:c>
      <x:c r="F7" s="22" t="str">
        <x:v>O</x:v>
      </x:c>
      <x:c r="G7" s="22" t="str">
        <x:v>D</x:v>
      </x:c>
      <x:c r="H7" s="22" t="str">
        <x:v>RPN</x:v>
      </x:c>
      <x:c r="I7" s="22" t="str">
        <x:v>Ação</x:v>
      </x:c>
      <x:c r="J7" s="22" t="str">
        <x:v>Controle</x:v>
      </x:c>
    </x:row>
    <x:row r="8" ht="32" customHeight="1">
      <x:c r="A8" s="30" t="str"/>
      <x:c r="B8" s="30" t="str"/>
      <x:c r="C8" s="30" t="str"/>
      <x:c r="D8" s="30" t="str"/>
      <x:c r="E8" s="30" t="str"/>
      <x:c r="F8" s="30" t="str"/>
      <x:c r="G8" s="30" t="str"/>
      <x:c r="H8" s="18" t="str">
        <x:f>IF(COUNT(E8:G8)=3,E8*F8*G8,"")</x:f>
      </x:c>
      <x:c r="I8" s="18" t="str"/>
      <x:c r="J8" s="18" t="str"/>
    </x:row>
    <x:row r="9" ht="32" customHeight="1">
      <x:c r="A9" s="30" t="str"/>
      <x:c r="B9" s="30" t="str"/>
      <x:c r="C9" s="30" t="str"/>
      <x:c r="D9" s="30" t="str"/>
      <x:c r="E9" s="30" t="str"/>
      <x:c r="F9" s="30" t="str"/>
      <x:c r="G9" s="30" t="str"/>
      <x:c r="H9" s="18" t="str">
        <x:f>IF(COUNT(E9:G9)=3,E9*F9*G9,"")</x:f>
      </x:c>
      <x:c r="I9" s="18" t="str"/>
      <x:c r="J9" s="18" t="str"/>
    </x:row>
    <x:row r="10" ht="32" customHeight="1">
      <x:c r="A10" s="30" t="str"/>
      <x:c r="B10" s="30" t="str"/>
      <x:c r="C10" s="30" t="str"/>
      <x:c r="D10" s="30" t="str"/>
      <x:c r="E10" s="30" t="str"/>
      <x:c r="F10" s="30" t="str"/>
      <x:c r="G10" s="30" t="str"/>
      <x:c r="H10" s="18" t="str">
        <x:f>IF(COUNT(E10:G10)=3,E10*F10*G10,"")</x:f>
      </x:c>
      <x:c r="I10" s="18" t="str"/>
      <x:c r="J10" s="18" t="str"/>
    </x:row>
    <x:row r="11" ht="32" customHeight="1">
      <x:c r="A11" s="30" t="str"/>
      <x:c r="B11" s="30" t="str"/>
      <x:c r="C11" s="30" t="str"/>
      <x:c r="D11" s="30" t="str"/>
      <x:c r="E11" s="30" t="str"/>
      <x:c r="F11" s="30" t="str"/>
      <x:c r="G11" s="30" t="str"/>
      <x:c r="H11" s="18" t="str">
        <x:f>IF(COUNT(E11:G11)=3,E11*F11*G11,"")</x:f>
      </x:c>
      <x:c r="I11" s="18" t="str"/>
      <x:c r="J11" s="18" t="str"/>
    </x:row>
    <x:row r="12" ht="32" customHeight="1">
      <x:c r="A12" s="30" t="str"/>
      <x:c r="B12" s="30" t="str"/>
      <x:c r="C12" s="30" t="str"/>
      <x:c r="D12" s="30" t="str"/>
      <x:c r="E12" s="30" t="str"/>
      <x:c r="F12" s="30" t="str"/>
      <x:c r="G12" s="30" t="str"/>
      <x:c r="H12" s="18" t="str">
        <x:f>IF(COUNT(E12:G12)=3,E12*F12*G12,"")</x:f>
      </x:c>
      <x:c r="I12" s="18" t="str"/>
      <x:c r="J12" s="18" t="str"/>
    </x:row>
    <x:row r="13" ht="32" customHeight="1">
      <x:c r="A13" s="30" t="str"/>
      <x:c r="B13" s="30" t="str"/>
      <x:c r="C13" s="30" t="str"/>
      <x:c r="D13" s="30" t="str"/>
      <x:c r="E13" s="30" t="str"/>
      <x:c r="F13" s="30" t="str"/>
      <x:c r="G13" s="30" t="str"/>
      <x:c r="H13" s="18" t="str">
        <x:f>IF(COUNT(E13:G13)=3,E13*F13*G13,"")</x:f>
      </x:c>
      <x:c r="I13" s="18" t="str"/>
      <x:c r="J13" s="18" t="str"/>
    </x:row>
    <x:row r="14" ht="32" customHeight="1">
      <x:c r="A14" s="30" t="str"/>
      <x:c r="B14" s="30" t="str"/>
      <x:c r="C14" s="30" t="str"/>
      <x:c r="D14" s="30" t="str"/>
      <x:c r="E14" s="30" t="str"/>
      <x:c r="F14" s="30" t="str"/>
      <x:c r="G14" s="30" t="str"/>
      <x:c r="H14" s="18" t="str">
        <x:f>IF(COUNT(E14:G14)=3,E14*F14*G14,"")</x:f>
      </x:c>
      <x:c r="I14" s="18" t="str"/>
      <x:c r="J14" s="18" t="str"/>
    </x:row>
    <x:row r="15" ht="32" customHeight="1"/>
    <x:row r="16" ht="32" customHeight="1">
      <x:c r="A16" s="14" t="str">
        <x:v>Análise de valor</x:v>
      </x:c>
      <x:c r="B16" s="14"/>
      <x:c r="C16" s="14"/>
      <x:c r="D16" s="14"/>
      <x:c r="E16" s="14"/>
      <x:c r="F16" s="14"/>
      <x:c r="G16" s="14"/>
      <x:c r="H16" s="14"/>
      <x:c r="I16" s="14"/>
      <x:c r="J16" s="14"/>
    </x:row>
    <x:row r="17" ht="32" customHeight="1">
      <x:c r="A17" s="22" t="str">
        <x:v>Função/módulo</x:v>
      </x:c>
      <x:c r="B17" s="22" t="str">
        <x:v>Custo</x:v>
      </x:c>
      <x:c r="C17" s="22" t="str">
        <x:v>% do custo</x:v>
      </x:c>
      <x:c r="D17" s="22" t="str">
        <x:v>% do valor</x:v>
      </x:c>
      <x:c r="E17" s="22" t="str">
        <x:v>Valor/custo</x:v>
      </x:c>
      <x:c r="F17" s="22" t="str">
        <x:v>Decisão</x:v>
      </x:c>
    </x:row>
    <x:row r="18" ht="32" customHeight="1">
      <x:c r="A18" s="30" t="str"/>
      <x:c r="B18" s="34" t="str"/>
      <x:c r="C18" s="33" t="str"/>
      <x:c r="D18" s="33" t="str"/>
      <x:c r="E18" s="35" t="str">
        <x:f>IF(AND(ISNUMBER(C18),ISNUMBER(D18),C18&lt;&gt;0),D18/C18,"")</x:f>
      </x:c>
      <x:c r="F18" s="18" t="str"/>
    </x:row>
    <x:row r="19" ht="32" customHeight="1">
      <x:c r="A19" s="30" t="str"/>
      <x:c r="B19" s="34" t="str"/>
      <x:c r="C19" s="33" t="str"/>
      <x:c r="D19" s="33" t="str"/>
      <x:c r="E19" s="35" t="str">
        <x:f>IF(AND(ISNUMBER(C19),ISNUMBER(D19),C19&lt;&gt;0),D19/C19,"")</x:f>
      </x:c>
      <x:c r="F19" s="18" t="str"/>
    </x:row>
    <x:row r="20" ht="32" customHeight="1">
      <x:c r="A20" s="30" t="str"/>
      <x:c r="B20" s="34" t="str"/>
      <x:c r="C20" s="33" t="str"/>
      <x:c r="D20" s="33" t="str"/>
      <x:c r="E20" s="35" t="str">
        <x:f>IF(AND(ISNUMBER(C20),ISNUMBER(D20),C20&lt;&gt;0),D20/C20,"")</x:f>
      </x:c>
      <x:c r="F20" s="18" t="str"/>
    </x:row>
    <x:row r="21" ht="32" customHeight="1">
      <x:c r="A21" s="30" t="str"/>
      <x:c r="B21" s="34" t="str"/>
      <x:c r="C21" s="33" t="str"/>
      <x:c r="D21" s="33" t="str"/>
      <x:c r="E21" s="35" t="str">
        <x:f>IF(AND(ISNUMBER(C21),ISNUMBER(D21),C21&lt;&gt;0),D21/C21,"")</x:f>
      </x:c>
      <x:c r="F21" s="18" t="str"/>
    </x:row>
    <x:row r="22" ht="32" customHeight="1">
      <x:c r="A22" s="30" t="str"/>
      <x:c r="B22" s="34" t="str"/>
      <x:c r="C22" s="33" t="str"/>
      <x:c r="D22" s="33" t="str"/>
      <x:c r="E22" s="35" t="str">
        <x:f>IF(AND(ISNUMBER(C22),ISNUMBER(D22),C22&lt;&gt;0),D22/C22,"")</x:f>
      </x:c>
      <x:c r="F22" s="18" t="str"/>
    </x:row>
    <x:row r="23" ht="32" customHeight="1">
      <x:c r="A23" s="30" t="str"/>
      <x:c r="B23" s="34" t="str"/>
      <x:c r="C23" s="33" t="str"/>
      <x:c r="D23" s="33" t="str"/>
      <x:c r="E23" s="35" t="str">
        <x:f>IF(AND(ISNUMBER(C23),ISNUMBER(D23),C23&lt;&gt;0),D23/C23,"")</x:f>
      </x:c>
      <x:c r="F23" s="18" t="str"/>
    </x:row>
    <x:row r="24" ht="32" customHeight="1">
      <x:c r="A24" s="30" t="str"/>
      <x:c r="B24" s="34" t="str"/>
      <x:c r="C24" s="33" t="str"/>
      <x:c r="D24" s="33" t="str"/>
      <x:c r="E24" s="35" t="str">
        <x:f>IF(AND(ISNUMBER(C24),ISNUMBER(D24),C24&lt;&gt;0),D24/C24,"")</x:f>
      </x:c>
      <x:c r="F24" s="18" t="str"/>
    </x:row>
  </x:sheetData>
  <x:mergeCells>
    <x:mergeCell ref="A2:J2"/>
    <x:mergeCell ref="A4:J4"/>
    <x:mergeCell ref="A6:J6"/>
    <x:mergeCell ref="A16:J16"/>
  </x:mergeCells>
  <x:dataValidations count="1">
    <x:dataValidation type="whole" operator="between" sqref="E8:G14">
      <x:formula1>1</x:formula1>
      <x:formula2>10</x:formula2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163E6C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43" hidden="0" customWidth="1"/>
    <x:col min="3" max="3" width="36" hidden="0" customWidth="1"/>
    <x:col min="4" max="4" width="42" hidden="0" customWidth="1"/>
    <x:col min="5" max="5" width="24" hidden="0" customWidth="1"/>
    <x:col min="6" max="6" width="17" hidden="0" customWidth="1"/>
    <x:col min="7" max="7" width="17" hidden="0" customWidth="1"/>
    <x:col min="8" max="8" width="16" hidden="0" customWidth="1"/>
  </x:cols>
  <x:sheetData>
    <x:row r="2" ht="30" customHeight="1">
      <x:c r="A2" s="2" t="str">
        <x:v>Pendências e plano de validação</x:v>
      </x:c>
      <x:c r="B2" s="2"/>
      <x:c r="C2" s="2"/>
      <x:c r="D2" s="2"/>
      <x:c r="E2" s="2"/>
      <x:c r="F2" s="2"/>
      <x:c r="G2" s="2"/>
      <x:c r="H2" s="2"/>
    </x:row>
    <x:row r="3">
      <x:c r="A3" s="3"/>
      <x:c r="B3" s="3"/>
      <x:c r="C3" s="3"/>
      <x:c r="D3" s="3"/>
      <x:c r="E3" s="3"/>
      <x:c r="F3" s="3"/>
      <x:c r="G3" s="3"/>
      <x:c r="H3" s="3"/>
    </x:row>
    <x:row r="4" ht="34" customHeight="1">
      <x:c r="A4" s="6" t="str">
        <x:v>Questões que precisam de evidência antes de avançar para requisitos, metas e concepções.</x:v>
      </x:c>
      <x:c r="B4" s="6"/>
      <x:c r="C4" s="6"/>
      <x:c r="D4" s="6"/>
      <x:c r="E4" s="6"/>
      <x:c r="F4" s="6"/>
      <x:c r="G4" s="6"/>
      <x:c r="H4" s="6"/>
    </x:row>
    <x:row r="6" ht="15" hidden="0" customHeight="1">
      <x:c r="A6" s="22" t="str">
        <x:v>ID</x:v>
      </x:c>
      <x:c r="B6" s="22" t="str">
        <x:v>Pergunta a responder</x:v>
      </x:c>
      <x:c r="C6" s="22" t="str">
        <x:v>Por que importa</x:v>
      </x:c>
      <x:c r="D6" s="22" t="str">
        <x:v>Método</x:v>
      </x:c>
      <x:c r="E6" s="22" t="str">
        <x:v>Fonte/ator</x:v>
      </x:c>
      <x:c r="F6" s="22" t="str">
        <x:v>Responsável</x:v>
      </x:c>
      <x:c r="G6" s="22" t="str">
        <x:v>Prazo</x:v>
      </x:c>
      <x:c r="H6" s="22" t="str">
        <x:v>Status</x:v>
      </x:c>
    </x:row>
    <x:row r="7" ht="15" hidden="0" customHeight="1">
      <x:c r="A7" s="18" t="str">
        <x:v>P-01</x:v>
      </x:c>
      <x:c r="B7" s="18" t="str">
        <x:v>Qual é a taxa de avaria por tipo de louça, rota e transportador?</x:v>
      </x:c>
      <x:c r="C7" s="18" t="str">
        <x:v>Dimensiona o problema e define uma linha de base.</x:v>
      </x:c>
      <x:c r="D7" s="18" t="str">
        <x:v>Extrair registros de troca, crédito e devolução.</x:v>
      </x:c>
      <x:c r="E7" s="18" t="str">
        <x:v>Distribuidor</x:v>
      </x:c>
      <x:c r="F7" s="30" t="str">
        <x:v>A definir</x:v>
      </x:c>
      <x:c r="G7" s="30" t="str">
        <x:v>A definir</x:v>
      </x:c>
      <x:c r="H7" s="18" t="str">
        <x:v>Aberta</x:v>
      </x:c>
    </x:row>
    <x:row r="8" ht="24" hidden="0" customHeight="1">
      <x:c r="A8" s="18" t="str">
        <x:v>P-02</x:v>
      </x:c>
      <x:c r="B8" s="18" t="str">
        <x:v>Em que ponto a avaria nasce e em que ponto fica visível?</x:v>
      </x:c>
      <x:c r="C8" s="18" t="str">
        <x:v>Evita confundir origem do dano com momento da detecção.</x:v>
      </x:c>
      <x:c r="D8" s="18" t="str">
        <x:v>Acompanhar entregas e registrar inspeções por etapa.</x:v>
      </x:c>
      <x:c r="E8" s="18" t="str">
        <x:v>Distribuidor e obra</x:v>
      </x:c>
      <x:c r="F8" s="30" t="str">
        <x:v>A definir</x:v>
      </x:c>
      <x:c r="G8" s="30" t="str">
        <x:v>A definir</x:v>
      </x:c>
      <x:c r="H8" s="18" t="str">
        <x:v>Aberta</x:v>
      </x:c>
    </x:row>
    <x:row r="9" ht="15" hidden="0" customHeight="1">
      <x:c r="A9" s="18" t="str">
        <x:v>P-03</x:v>
      </x:c>
      <x:c r="B9" s="18" t="str">
        <x:v>Quais produtos, massas e geometrias concentram ocorrências?</x:v>
      </x:c>
      <x:c r="C9" s="18" t="str">
        <x:v>Permite segmentar requisitos e ensaios.</x:v>
      </x:c>
      <x:c r="D9" s="18" t="str">
        <x:v>Classificar ocorrências por SKU e modo de dano.</x:v>
      </x:c>
      <x:c r="E9" s="18" t="str">
        <x:v>Distribuidor/fabricante</x:v>
      </x:c>
      <x:c r="F9" s="30" t="str">
        <x:v>A definir</x:v>
      </x:c>
      <x:c r="G9" s="30" t="str">
        <x:v>A definir</x:v>
      </x:c>
      <x:c r="H9" s="18" t="str">
        <x:v>Aberta</x:v>
      </x:c>
    </x:row>
    <x:row r="10" ht="15" hidden="0" customHeight="1">
      <x:c r="A10" s="18" t="str">
        <x:v>P-04</x:v>
      </x:c>
      <x:c r="B10" s="18" t="str">
        <x:v>Qual é o custo total de uma avaria?</x:v>
      </x:c>
      <x:c r="C10" s="18" t="str">
        <x:v>Sustenta custo-meta e viabilidade.</x:v>
      </x:c>
      <x:c r="D10" s="18" t="str">
        <x:v>Somar reposição, frete, mão de obra, atraso e descarte.</x:v>
      </x:c>
      <x:c r="E10" s="18" t="str">
        <x:v>Distribuidor e obra</x:v>
      </x:c>
      <x:c r="F10" s="30" t="str">
        <x:v>A definir</x:v>
      </x:c>
      <x:c r="G10" s="30" t="str">
        <x:v>A definir</x:v>
      </x:c>
      <x:c r="H10" s="18" t="str">
        <x:v>Aberta</x:v>
      </x:c>
    </x:row>
    <x:row r="11" ht="15" hidden="0" customHeight="1">
      <x:c r="A11" s="18" t="str">
        <x:v>P-05</x:v>
      </x:c>
      <x:c r="B11" s="18" t="str">
        <x:v>Quais condições de acesso impedem o uso de carrinhos?</x:v>
      </x:c>
      <x:c r="C11" s="18" t="str">
        <x:v>Conecta o risco humano ao contexto real da entrega.</x:v>
      </x:c>
      <x:c r="D11" s="18" t="str">
        <x:v>Medir portas, corredores, rampas, escadas e distâncias.</x:v>
      </x:c>
      <x:c r="E11" s="18" t="str">
        <x:v>Obra e transportador</x:v>
      </x:c>
      <x:c r="F11" s="30" t="str">
        <x:v>A definir</x:v>
      </x:c>
      <x:c r="G11" s="30" t="str">
        <x:v>A definir</x:v>
      </x:c>
      <x:c r="H11" s="18" t="str">
        <x:v>Aberta</x:v>
      </x:c>
    </x:row>
    <x:row r="12" ht="24" hidden="0" customHeight="1">
      <x:c r="A12" s="18" t="str">
        <x:v>P-06</x:v>
      </x:c>
      <x:c r="B12" s="18" t="str">
        <x:v>Quais são as práticas atuais de embalagem, unitização e amarração?</x:v>
      </x:c>
      <x:c r="C12" s="18" t="str">
        <x:v>Define o sistema existente e suas restrições.</x:v>
      </x:c>
      <x:c r="D12" s="18" t="str">
        <x:v>Observação, fotografias e análise de embalagem.</x:v>
      </x:c>
      <x:c r="E12" s="18" t="str">
        <x:v>Distribuidor/fabricante</x:v>
      </x:c>
      <x:c r="F12" s="30" t="str">
        <x:v>A definir</x:v>
      </x:c>
      <x:c r="G12" s="30" t="str">
        <x:v>A definir</x:v>
      </x:c>
      <x:c r="H12" s="18" t="str">
        <x:v>Aberta</x:v>
      </x:c>
    </x:row>
    <x:row r="13" ht="15" hidden="0" customHeight="1">
      <x:c r="A13" s="18" t="str">
        <x:v>P-07</x:v>
      </x:c>
      <x:c r="B13" s="18" t="str">
        <x:v>Quanto o mercado aceita pagar por maior proteção?</x:v>
      </x:c>
      <x:c r="C13" s="18" t="str">
        <x:v>Testa a tensão proteção versus preço.</x:v>
      </x:c>
      <x:c r="D13" s="18" t="str">
        <x:v>Entrevistas e experimento de escolha.</x:v>
      </x:c>
      <x:c r="E13" s="18" t="str">
        <x:v>Comprador/distribuidor</x:v>
      </x:c>
      <x:c r="F13" s="30" t="str">
        <x:v>A definir</x:v>
      </x:c>
      <x:c r="G13" s="30" t="str">
        <x:v>A definir</x:v>
      </x:c>
      <x:c r="H13" s="18" t="str">
        <x:v>Aberta</x:v>
      </x:c>
    </x:row>
    <x:row r="14" ht="24" hidden="0" customHeight="1">
      <x:c r="A14" s="18" t="str">
        <x:v>P-08</x:v>
      </x:c>
      <x:c r="B14" s="18" t="str">
        <x:v>Quais normas e critérios de ensaio se aplicam?</x:v>
      </x:c>
      <x:c r="C14" s="18" t="str">
        <x:v>Transforma segurança e desempenho em requisitos verificáveis.</x:v>
      </x:c>
      <x:c r="D14" s="18" t="str">
        <x:v>Revisão normativa e consulta técnica.</x:v>
      </x:c>
      <x:c r="E14" s="18" t="str">
        <x:v>Normas e especialistas</x:v>
      </x:c>
      <x:c r="F14" s="30" t="str">
        <x:v>A definir</x:v>
      </x:c>
      <x:c r="G14" s="30" t="str">
        <x:v>A definir</x:v>
      </x:c>
      <x:c r="H14" s="18" t="str">
        <x:v>Aberta</x:v>
      </x:c>
    </x:row>
    <x:row r="15" ht="24" hidden="0" customHeight="1">
      <x:c r="A15" s="18" t="str">
        <x:v>P-09</x:v>
      </x:c>
      <x:c r="B15" s="18" t="str">
        <x:v>Há liberdade de operação frente às patentes identificadas?</x:v>
      </x:c>
      <x:c r="C15" s="18" t="str">
        <x:v>Evita adotar solução protegida e orienta diferenciação.</x:v>
      </x:c>
      <x:c r="D15" s="18" t="str">
        <x:v>Busca profissional de anterioridade e análise de reivindicações.</x:v>
      </x:c>
      <x:c r="E15" s="18" t="str">
        <x:v>INPI/Google Patents</x:v>
      </x:c>
      <x:c r="F15" s="30" t="str">
        <x:v>A definir</x:v>
      </x:c>
      <x:c r="G15" s="30" t="str">
        <x:v>A definir</x:v>
      </x:c>
      <x:c r="H15" s="18" t="str">
        <x:v>Aberta</x:v>
      </x:c>
    </x:row>
    <x:row r="16" ht="24" hidden="0" customHeight="1">
      <x:c r="A16" s="18" t="str">
        <x:v>P-10</x:v>
      </x:c>
      <x:c r="B16" s="18" t="str">
        <x:v>As necessidades consolidadas se confirmam junto aos clientes de cada fase?</x:v>
      </x:c>
      <x:c r="C16" s="18" t="str">
        <x:v>Sustenta a priorização e evita levar ao QFD requisitos sem lastro operacional.</x:v>
      </x:c>
      <x:c r="D16" s="18" t="str">
        <x:v>Entrevistar operadores do distribuidor, motoristas, ajudantes, almoxarifes e equipe de logística reversa.</x:v>
      </x:c>
      <x:c r="E16" s="18" t="str">
        <x:v>Distribuidor e obra</x:v>
      </x:c>
      <x:c r="F16" s="30" t="str">
        <x:v>A definir</x:v>
      </x:c>
      <x:c r="G16" s="30" t="str">
        <x:v>A definir</x:v>
      </x:c>
      <x:c r="H16" s="18" t="str">
        <x:v>Aberta</x:v>
      </x:c>
    </x:row>
    <x:row r="17" ht="24" hidden="0" customHeight="1">
      <x:c r="A17" s="18" t="str">
        <x:v>P-11</x:v>
      </x:c>
      <x:c r="B17" s="18" t="str">
        <x:v>A manutenção ou a substituição de partes é exigência do distribuidor?</x:v>
      </x:c>
      <x:c r="C17" s="18" t="str">
        <x:v>O produto é retornável e circula por vários ciclos; pode faltar um requisito de manutenibilidade.</x:v>
      </x:c>
      <x:c r="D17" s="18" t="str">
        <x:v>Entrevista sobre prática atual de reparo de embalagens e acessórios retornáveis.</x:v>
      </x:c>
      <x:c r="E17" s="18" t="str">
        <x:v>Distribuidor</x:v>
      </x:c>
      <x:c r="F17" s="30" t="str">
        <x:v>A definir</x:v>
      </x:c>
      <x:c r="G17" s="30" t="str">
        <x:v>A definir</x:v>
      </x:c>
      <x:c r="H17" s="18" t="str">
        <x:v>Aberta</x:v>
      </x:c>
    </x:row>
    <x:row r="18" ht="24" hidden="0" customHeight="1">
      <x:c r="A18" s="18" t="str">
        <x:v>P-12</x:v>
      </x:c>
      <x:c r="B18" s="18" t="str">
        <x:v>Quantos ciclos de ida e retorno cada unidade deve suportar?</x:v>
      </x:c>
      <x:c r="C18" s="18" t="str">
        <x:v>Define a meta de durabilidade do RC-19 e o custo por ciclo do RC-26.</x:v>
      </x:c>
      <x:c r="D18" s="18" t="str">
        <x:v>Levantar giro de entregas, taxa de perda no retorno e vida útil aceitável com o distribuidor.</x:v>
      </x:c>
      <x:c r="E18" s="18" t="str">
        <x:v>Distribuidor</x:v>
      </x:c>
      <x:c r="F18" s="30" t="str">
        <x:v>A definir</x:v>
      </x:c>
      <x:c r="G18" s="30" t="str">
        <x:v>A definir</x:v>
      </x:c>
      <x:c r="H18" s="18" t="str">
        <x:v>Aberta</x:v>
      </x:c>
    </x:row>
  </x:sheetData>
  <x:mergeCells>
    <x:mergeCell ref="A2:H2"/>
    <x:mergeCell ref="A4:H4"/>
  </x:mergeCells>
  <x:conditionalFormatting sqref="H7:H18">
    <x:cfRule type="containsText" dxfId="3" priority="1" operator="containsText" text="Aberta"/>
    <x:cfRule type="containsText" dxfId="4" priority="2" operator="containsText" text="Concluída"/>
  </x:conditionalFormatting>
  <x:dataValidations count="1">
    <x:dataValidation type="list" sqref="H7:H18">
      <x:formula1>"Aberta,Em andamento,Concluída,Bloqueada"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4B5563"/>
  </x:sheetPr>
  <x:sheetViews>
    <x:sheetView showGridLines="0" workbookViewId="0"/>
  </x:sheetViews>
  <x:sheetFormatPr defaultRowHeight="15"/>
  <x:cols>
    <x:col min="1" max="1" width="9" hidden="0" customWidth="1"/>
    <x:col min="2" max="2" width="44" hidden="0" customWidth="1"/>
    <x:col min="3" max="3" width="44" hidden="0" customWidth="1"/>
    <x:col min="4" max="4" width="60" hidden="0" customWidth="1"/>
    <x:col min="5" max="5" width="16" hidden="0" customWidth="1"/>
    <x:col min="6" max="6" width="38" hidden="0" customWidth="1"/>
  </x:cols>
  <x:sheetData>
    <x:row r="2" ht="30" customHeight="1">
      <x:c r="A2" s="2" t="str">
        <x:v>Fontes e rastreabilidade</x:v>
      </x:c>
      <x:c r="B2" s="2"/>
      <x:c r="C2" s="2"/>
      <x:c r="D2" s="2"/>
      <x:c r="E2" s="2"/>
      <x:c r="F2" s="2"/>
    </x:row>
    <x:row r="3">
      <x:c r="A3" s="3"/>
      <x:c r="B3" s="3"/>
      <x:c r="C3" s="3"/>
      <x:c r="D3" s="3"/>
      <x:c r="E3" s="3"/>
      <x:c r="F3" s="3"/>
    </x:row>
    <x:row r="4" ht="34" customHeight="1">
      <x:c r="A4" s="6" t="str">
        <x:v>Fontes utilizadas nesta versão inicial. Referências futuras devem ser registradas aqui uma única vez.</x:v>
      </x:c>
      <x:c r="B4" s="6"/>
      <x:c r="C4" s="6"/>
      <x:c r="D4" s="6"/>
      <x:c r="E4" s="6"/>
      <x:c r="F4" s="6"/>
    </x:row>
    <x:row r="6" ht="15" hidden="0" customHeight="1">
      <x:c r="A6" s="22" t="str">
        <x:v>ID</x:v>
      </x:c>
      <x:c r="B6" s="22" t="str">
        <x:v>Fonte</x:v>
      </x:c>
      <x:c r="C6" s="22" t="str">
        <x:v>Uso no projeto</x:v>
      </x:c>
      <x:c r="D6" s="22" t="str">
        <x:v>Localização</x:v>
      </x:c>
      <x:c r="E6" s="22" t="str">
        <x:v>Data/edição</x:v>
      </x:c>
      <x:c r="F6" s="22" t="str">
        <x:v>Observação</x:v>
      </x:c>
    </x:row>
    <x:row r="7" ht="15" hidden="0" customHeight="1">
      <x:c r="A7" s="18" t="str">
        <x:v>S-01</x:v>
      </x:c>
      <x:c r="B7" s="18" t="str">
        <x:v>Apresentação Semana 03 - Louças sanitárias em trânsito</x:v>
      </x:c>
      <x:c r="C7" s="18" t="str">
        <x:v>Problema, evidências de campo, escala e anterioridade preliminar</x:v>
      </x:c>
      <x:c r="D7" s="18" t="str">
        <x:v>Entregas/Exemplos de entregas - base/apresentacao-semana-03-open-design.pdf</x:v>
      </x:c>
      <x:c r="E7" s="18" t="str">
        <x:v>24 ago. 2026</x:v>
      </x:c>
      <x:c r="F7" s="18" t="str">
        <x:v>Fonte primária do recorte atual.</x:v>
      </x:c>
    </x:row>
    <x:row r="8" ht="15" hidden="0" customHeight="1">
      <x:c r="A8" s="18" t="str">
        <x:v>S-02</x:v>
      </x:c>
      <x:c r="B8" s="18" t="str">
        <x:v>Tópicos de Estudo 2026/2</x:v>
      </x:c>
      <x:c r="C8" s="18" t="str">
        <x:v>Cronologia das aulas e atividades</x:v>
      </x:c>
      <x:c r="D8" s="18" t="str">
        <x:v>TOPICOS ESTUDO 2026_2.pdf</x:v>
      </x:c>
      <x:c r="E8" s="18" t="str">
        <x:v>2026/2</x:v>
      </x:c>
      <x:c r="F8" s="18" t="str">
        <x:v>Orienta a ordem metodológica.</x:v>
      </x:c>
    </x:row>
    <x:row r="9" ht="15" hidden="0" customHeight="1">
      <x:c r="A9" s="18" t="str">
        <x:v>S-03</x:v>
      </x:c>
      <x:c r="B9" s="18" t="str">
        <x:v>Slides das aulas de Engenharia de Produto</x:v>
      </x:c>
      <x:c r="C9" s="18" t="str">
        <x:v>Definições e métodos do PDP</x:v>
      </x:c>
      <x:c r="D9" s="18" t="str">
        <x:v>Engenharia de Produto - cópia/Slides do Conteúdo</x:v>
      </x:c>
      <x:c r="E9" s="18" t="str">
        <x:v>2026/2</x:v>
      </x:c>
      <x:c r="F9" s="18" t="str">
        <x:v>Em caso de divergência, o slide da disciplina prevalece.</x:v>
      </x:c>
    </x:row>
    <x:row r="10" ht="15" hidden="0" customHeight="1">
      <x:c r="A10" s="18" t="str">
        <x:v>S-04</x:v>
      </x:c>
      <x:c r="B10" s="18" t="str">
        <x:v>Rozenfeld et al. Gestão de Desenvolvimento de Produtos</x:v>
      </x:c>
      <x:c r="C10" s="18" t="str">
        <x:v>Modelo Unificado do PDP</x:v>
      </x:c>
      <x:c r="D10" s="18" t="str">
        <x:v>Bibliografia do curso</x:v>
      </x:c>
      <x:c r="E10" s="18" t="str">
        <x:v>2006</x:v>
      </x:c>
      <x:c r="F10" s="18" t="str">
        <x:v>Referência de processo.</x:v>
      </x:c>
    </x:row>
    <x:row r="11" ht="15" hidden="0" customHeight="1">
      <x:c r="A11" s="18" t="str">
        <x:v>S-05</x:v>
      </x:c>
      <x:c r="B11" s="18" t="str">
        <x:v>Back et al. Projeto Integrado de Produtos</x:v>
      </x:c>
      <x:c r="C11" s="18" t="str">
        <x:v>Planejamento, projeto informacional e conceitual</x:v>
      </x:c>
      <x:c r="D11" s="18" t="str">
        <x:v>Bibliografia do curso</x:v>
      </x:c>
      <x:c r="E11" s="18" t="str">
        <x:v>2008</x:v>
      </x:c>
      <x:c r="F11" s="18" t="str">
        <x:v>Referência metodológica.</x:v>
      </x:c>
    </x:row>
    <x:row r="12" ht="15" hidden="0" customHeight="1">
      <x:c r="A12" s="18" t="str">
        <x:v>S-06</x:v>
      </x:c>
      <x:c r="B12" s="18" t="str">
        <x:v>Wood et al. Design Innovation</x:v>
      </x:c>
      <x:c r="C12" s="18" t="str">
        <x:v>Descoberta, Kano, benchmarking, QFD e prototipagem</x:v>
      </x:c>
      <x:c r="D12" s="18" t="str">
        <x:v>Bibliografia do curso</x:v>
      </x:c>
      <x:c r="E12" s="18" t="str">
        <x:v>2021/2023</x:v>
      </x:c>
      <x:c r="F12" s="18" t="str">
        <x:v>Referência de métodos.</x:v>
      </x:c>
    </x:row>
    <x:row r="13" ht="24" hidden="0" customHeight="1">
      <x:c r="A13" s="18" t="str">
        <x:v>S-07</x:v>
      </x:c>
      <x:c r="B13" s="18" t="str">
        <x:v>Andrade, R. S. Preliminary Evaluation of Needs in the Design Process (ICED 91)</x:v>
      </x:c>
      <x:c r="C13" s="18" t="str">
        <x:v>Guia de questões por elemento do ciclo de vida usado no levantamento das necessidades</x:v>
      </x:c>
      <x:c r="D13" s="18" t="str">
        <x:v>Reproduzido na Aula 11 da disciplina</x:v>
      </x:c>
      <x:c r="E13" s="18" t="str">
        <x:v>1991</x:v>
      </x:c>
      <x:c r="F13" s="18" t="str">
        <x:v>Orientação a ser expandida em cada caso prático.</x:v>
      </x:c>
    </x:row>
    <x:row r="14" ht="24" hidden="0" customHeight="1">
      <x:c r="A14" s="18" t="str">
        <x:v>S-08</x:v>
      </x:c>
      <x:c r="B14" s="18" t="str">
        <x:v>Relatório do projeto em LaTeX</x:v>
      </x:c>
      <x:c r="C14" s="18" t="str">
        <x:v>Texto corrente, tabelas e rastreabilidade das fases já executadas</x:v>
      </x:c>
      <x:c r="D14" s="18" t="str">
        <x:v>Entregas/relatorio/main.pdf</x:v>
      </x:c>
      <x:c r="E14" s="18" t="str">
        <x:v>Versão corrente</x:v>
      </x:c>
      <x:c r="F14" s="18" t="str">
        <x:v>Planilha e relatório devem ser atualizados na mesma rodada.</x:v>
      </x:c>
    </x:row>
  </x:sheetData>
  <x:mergeCells>
    <x:mergeCell ref="A2:F2"/>
    <x:mergeCell ref="A4:F4"/>
  </x:mergeCells>
  <x:pageMargins left="0.7" right="0.7" top="0.75" bottom="0.75" header="0.3" footer="0.3"/>
</x:worksheet>
</file>