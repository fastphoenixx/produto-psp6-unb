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58f14b81814b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.Roteiro" sheetId="1" r:id="R34e13ba466ad48a1"/>
    <x:sheet xmlns:r="http://schemas.openxmlformats.org/officeDocument/2006/relationships" name="1.Problema" sheetId="2" r:id="R609a72ad732e4f52"/>
    <x:sheet xmlns:r="http://schemas.openxmlformats.org/officeDocument/2006/relationships" name="2.Evidências" sheetId="3" r:id="R59fad11f00b94908"/>
    <x:sheet xmlns:r="http://schemas.openxmlformats.org/officeDocument/2006/relationships" name="3.Stakeholders" sheetId="4" r:id="Rc5b5031f8c024817"/>
    <x:sheet xmlns:r="http://schemas.openxmlformats.org/officeDocument/2006/relationships" name="4.Ciclo de vida" sheetId="5" r:id="R164e6ca21be640ba"/>
    <x:sheet xmlns:r="http://schemas.openxmlformats.org/officeDocument/2006/relationships" name="5.Necessidades" sheetId="6" r:id="R2f5fce477f1f4941"/>
    <x:sheet xmlns:r="http://schemas.openxmlformats.org/officeDocument/2006/relationships" name="6.Requisitos" sheetId="7" r:id="Rc771b1be3dc54424"/>
    <x:sheet xmlns:r="http://schemas.openxmlformats.org/officeDocument/2006/relationships" name="7.Priorização" sheetId="8" r:id="R52cdbe8c696d4b27"/>
    <x:sheet xmlns:r="http://schemas.openxmlformats.org/officeDocument/2006/relationships" name="8.QFD" sheetId="9" r:id="Rf99a80bedfeb4893"/>
    <x:sheet xmlns:r="http://schemas.openxmlformats.org/officeDocument/2006/relationships" name="9.Funções e soluções" sheetId="10" r:id="Rebc7e4e9df494123"/>
    <x:sheet xmlns:r="http://schemas.openxmlformats.org/officeDocument/2006/relationships" name="10.Seleção e arquitetura" sheetId="11" r:id="Raecc695da1824272"/>
    <x:sheet xmlns:r="http://schemas.openxmlformats.org/officeDocument/2006/relationships" name="11.Riscos e valor" sheetId="12" r:id="R0d801997fe634f69"/>
    <x:sheet xmlns:r="http://schemas.openxmlformats.org/officeDocument/2006/relationships" name="12.Pendências" sheetId="13" r:id="R4a9b26a2956747d3"/>
    <x:sheet xmlns:r="http://schemas.openxmlformats.org/officeDocument/2006/relationships" name="13.Fontes" sheetId="14" r:id="Rdff857a74e9344c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&quot;R$&quot; #,##0.00"/>
  </x:numFmts>
  <x:fonts count="7">
    <x:font>
      <x:sz val="11"/>
      <x:name val="Carlito"/>
    </x:font>
    <x:font>
      <x:b/>
      <x:sz val="16"/>
      <x:color rgb="FF0B2447"/>
      <x:name val="Arial"/>
    </x:font>
    <x:font>
      <x:i/>
      <x:sz val="10"/>
      <x:color rgb="FF4B5563"/>
      <x:name val="Arial"/>
    </x:font>
    <x:font>
      <x:b/>
      <x:sz val="10"/>
      <x:color rgb="FF0B2447"/>
      <x:name val="Arial"/>
    </x:font>
    <x:font>
      <x:b/>
      <x:sz val="12"/>
      <x:color rgb="FF0B2447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7F3EA"/>
      </x:patternFill>
    </x:fill>
    <x:fill>
      <x:patternFill patternType="solid">
        <x:fgColor rgb="FF0B2447"/>
      </x:patternFill>
    </x:fill>
    <x:fill>
      <x:patternFill patternType="solid">
        <x:fgColor rgb="FF163E6C"/>
      </x:patternFill>
    </x:fill>
    <x:fill>
      <x:patternFill patternType="solid">
        <x:fgColor rgb="FFEAF0F7"/>
      </x:patternFill>
    </x:fill>
    <x:fill>
      <x:patternFill patternType="solid">
        <x:fgColor rgb="FFFFF4D6"/>
      </x:patternFill>
    </x:fill>
  </x:fills>
  <x:borders count="4">
    <x:border/>
    <x:border>
      <x:bottom style="medium">
        <x:color rgb="FFC89B3C"/>
      </x:bottom>
    </x:border>
    <x:border>
      <x:left style="thin">
        <x:color rgb="FFE1E5EA"/>
      </x:left>
      <x:right style="thin">
        <x:color rgb="FFE1E5EA"/>
      </x:right>
      <x:top style="thin">
        <x:color rgb="FFE1E5EA"/>
      </x:top>
      <x:bottom style="thin">
        <x:color rgb="FFE1E5EA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6" fillId="4" borderId="2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6" fillId="5" borderId="2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6" fillId="6" borderId="2" xfId="0" applyNumberFormat="1" applyFont="1" applyFill="1" applyBorder="1" applyAlignment="1">
      <x:alignment vertical="center" wrapText="1"/>
    </x:xf>
    <x:xf numFmtId="200" fontId="6" fillId="6" borderId="2" xfId="0" applyNumberFormat="1" applyFont="1" applyFill="1" applyBorder="1" applyAlignment="1">
      <x:alignment vertical="center" wrapText="1"/>
    </x:xf>
    <x:xf numFmtId="201" fontId="6" fillId="6" borderId="2" xfId="0" applyNumberFormat="1" applyFont="1" applyFill="1" applyBorder="1" applyAlignment="1">
      <x:alignment vertical="center" wrapText="1"/>
    </x:xf>
    <x:xf numFmtId="200" fontId="6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5">
    <x:dxf>
      <x:font>
        <x:b/>
        <x:color rgb="FF166534"/>
      </x:font>
      <x:fill>
        <x:patternFill patternType="solid">
          <x:bgColor rgb="FFDDEFE2"/>
        </x:patternFill>
      </x:fill>
    </x:dxf>
    <x:dxf>
      <x:font>
        <x:b/>
        <x:color rgb="FF92400E"/>
      </x:font>
      <x:fill>
        <x:patternFill patternType="solid">
          <x:bgColor rgb="FFFFF4D6"/>
        </x:patternFill>
      </x:fill>
    </x:dxf>
    <x:dxf>
      <x:font>
        <x:color rgb="FF4B5563"/>
      </x:font>
      <x:fill>
        <x:patternFill patternType="solid">
          <x:bgColor rgb="FFF3F4F6"/>
        </x:patternFill>
      </x:fill>
    </x:dxf>
    <x:dxf>
      <x:font>
        <x:b/>
        <x:color rgb="FF991B1B"/>
      </x:font>
      <x:fill>
        <x:patternFill patternType="solid">
          <x:bgColor rgb="FFFBE4E6"/>
        </x:patternFill>
      </x:fill>
    </x:dxf>
    <x:dxf>
      <x:font>
        <x:b/>
        <x:color rgb="FF166534"/>
      </x:font>
      <x:fill>
        <x:patternFill patternType="solid">
          <x:bgColor rgb="FFDDEF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bbb50a66594f2e" /><Relationship Type="http://schemas.openxmlformats.org/officeDocument/2006/relationships/theme" Target="/xl/theme/theme1.xml" Id="Rb5eb1b7ab4c847ce" /><Relationship Type="http://schemas.openxmlformats.org/officeDocument/2006/relationships/sharedStrings" Target="/xl/sharedStrings.xml" Id="Rea15448e41aa497b" /><Relationship Type="http://schemas.openxmlformats.org/officeDocument/2006/relationships/worksheet" Target="/xl/worksheets/sheet1.xml" Id="R34e13ba466ad48a1" /><Relationship Type="http://schemas.openxmlformats.org/officeDocument/2006/relationships/worksheet" Target="/xl/worksheets/sheet2.xml" Id="R609a72ad732e4f52" /><Relationship Type="http://schemas.openxmlformats.org/officeDocument/2006/relationships/worksheet" Target="/xl/worksheets/sheet3.xml" Id="R59fad11f00b94908" /><Relationship Type="http://schemas.openxmlformats.org/officeDocument/2006/relationships/worksheet" Target="/xl/worksheets/sheet4.xml" Id="Rc5b5031f8c024817" /><Relationship Type="http://schemas.openxmlformats.org/officeDocument/2006/relationships/worksheet" Target="/xl/worksheets/sheet5.xml" Id="R164e6ca21be640ba" /><Relationship Type="http://schemas.openxmlformats.org/officeDocument/2006/relationships/worksheet" Target="/xl/worksheets/sheet6.xml" Id="R2f5fce477f1f4941" /><Relationship Type="http://schemas.openxmlformats.org/officeDocument/2006/relationships/worksheet" Target="/xl/worksheets/sheet7.xml" Id="Rc771b1be3dc54424" /><Relationship Type="http://schemas.openxmlformats.org/officeDocument/2006/relationships/worksheet" Target="/xl/worksheets/sheet8.xml" Id="R52cdbe8c696d4b27" /><Relationship Type="http://schemas.openxmlformats.org/officeDocument/2006/relationships/worksheet" Target="/xl/worksheets/sheet9.xml" Id="Rf99a80bedfeb4893" /><Relationship Type="http://schemas.openxmlformats.org/officeDocument/2006/relationships/worksheet" Target="/xl/worksheets/sheet10.xml" Id="Rebc7e4e9df494123" /><Relationship Type="http://schemas.openxmlformats.org/officeDocument/2006/relationships/worksheet" Target="/xl/worksheets/sheet11.xml" Id="Raecc695da1824272" /><Relationship Type="http://schemas.openxmlformats.org/officeDocument/2006/relationships/worksheet" Target="/xl/worksheets/sheet12.xml" Id="R0d801997fe634f69" /><Relationship Type="http://schemas.openxmlformats.org/officeDocument/2006/relationships/worksheet" Target="/xl/worksheets/sheet13.xml" Id="R4a9b26a2956747d3" /><Relationship Type="http://schemas.openxmlformats.org/officeDocument/2006/relationships/worksheet" Target="/xl/worksheets/sheet14.xml" Id="Rdff857a74e9344c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B2447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6" hidden="0" customWidth="1"/>
    <x:col min="2" max="2" width="22" hidden="0" customWidth="1"/>
    <x:col min="3" max="3" width="14" hidden="0" customWidth="1"/>
    <x:col min="4" max="4" width="34" hidden="0" customWidth="1"/>
    <x:col min="5" max="5" width="34" hidden="0" customWidth="1"/>
    <x:col min="6" max="6" width="16" hidden="0" customWidth="1"/>
    <x:col min="7" max="7" width="24" hidden="0" customWidth="1"/>
    <x:col min="8" max="8" width="24" hidden="0" customWidth="1"/>
  </x:cols>
  <x:sheetData>
    <x:row r="2" ht="30" customHeight="1">
      <x:c r="A2" s="2" t="str">
        <x:v>Roteiro metodológico do projeto</x:v>
      </x:c>
      <x:c r="B2" s="2"/>
      <x:c r="C2" s="2"/>
      <x:c r="D2" s="2"/>
      <x:c r="E2" s="2"/>
      <x:c r="F2" s="2"/>
      <x:c r="G2" s="2"/>
      <x:c r="H2" s="2"/>
    </x:row>
    <x:row r="3">
      <x:c r="A3" s="3"/>
      <x:c r="B3" s="3"/>
      <x:c r="C3" s="3"/>
      <x:c r="D3" s="3"/>
      <x:c r="E3" s="3"/>
      <x:c r="F3" s="3"/>
      <x:c r="G3" s="3"/>
      <x:c r="H3" s="3"/>
    </x:row>
    <x:row r="4" ht="34" customHeight="1">
      <x:c r="A4" s="6" t="str">
        <x:v>Ordem das atividades alinhada às aulas e ao PDP. Os itens futuros permanecem sem dados até que a respectiva fase seja executada.</x:v>
      </x:c>
      <x:c r="B4" s="6"/>
      <x:c r="C4" s="6"/>
      <x:c r="D4" s="6"/>
      <x:c r="E4" s="6"/>
      <x:c r="F4" s="6"/>
      <x:c r="G4" s="6"/>
      <x:c r="H4" s="6"/>
    </x:row>
    <x:row r="6">
      <x:c r="A6" s="10" t="str">
        <x:v>Etapas concluídas</x:v>
      </x:c>
      <x:c r="B6" s="11" t="n">
        <x:f>COUNTIFS($F$10:$F$27,"Concluído")</x:f>
        <x:v>4</x:v>
      </x:c>
      <x:c r="C6" s="10" t="str">
        <x:v>Em andamento</x:v>
      </x:c>
      <x:c r="D6" s="10" t="n">
        <x:f>COUNTIFS($F$10:$F$27,"Em andamento")</x:f>
        <x:v>1</x:v>
      </x:c>
      <x:c r="E6" s="10" t="str">
        <x:v>A iniciar</x:v>
      </x:c>
      <x:c r="F6" s="10" t="n">
        <x:f>COUNTIFS($F$10:$F$27,"A iniciar")</x:f>
        <x:v>13</x:v>
      </x:c>
      <x:c r="G6" s="10" t="str">
        <x:v>Total</x:v>
      </x:c>
      <x:c r="H6" s="10" t="n">
        <x:f>COUNTA($A$10:$A$27)</x:f>
        <x:v>18</x:v>
      </x:c>
    </x:row>
    <x:row r="8" ht="23" customHeight="1">
      <x:c r="A8" s="14" t="str">
        <x:v>Sequência de trabalho</x:v>
      </x:c>
      <x:c r="B8" s="14"/>
      <x:c r="C8" s="14"/>
      <x:c r="D8" s="14"/>
      <x:c r="E8" s="14"/>
      <x:c r="F8" s="14"/>
      <x:c r="G8" s="14"/>
      <x:c r="H8" s="14"/>
    </x:row>
    <x:row r="9" ht="15" hidden="0" customHeight="1">
      <x:c r="A9" s="22" t="str">
        <x:v>ID</x:v>
      </x:c>
      <x:c r="B9" s="22" t="str">
        <x:v>Fase</x:v>
      </x:c>
      <x:c r="C9" s="22" t="str">
        <x:v>Momento</x:v>
      </x:c>
      <x:c r="D9" s="22" t="str">
        <x:v>Atividade</x:v>
      </x:c>
      <x:c r="E9" s="22" t="str">
        <x:v>Saída esperada</x:v>
      </x:c>
      <x:c r="F9" s="22" t="str">
        <x:v>Status</x:v>
      </x:c>
      <x:c r="G9" s="22" t="str">
        <x:v>Aba</x:v>
      </x:c>
      <x:c r="H9" s="22" t="str">
        <x:v>Referência</x:v>
      </x:c>
    </x:row>
    <x:row r="10" ht="15" hidden="0" customHeight="1">
      <x:c r="A10" s="18" t="str">
        <x:v>1</x:v>
      </x:c>
      <x:c r="B10" s="18" t="str">
        <x:v>Descoberta</x:v>
      </x:c>
      <x:c r="C10" s="18" t="str">
        <x:v>Semana 3</x:v>
      </x:c>
      <x:c r="D10" s="18" t="str">
        <x:v>Mapear a cadeia do problema</x:v>
      </x:c>
      <x:c r="E10" s="18" t="str">
        <x:v>Fluxo fabricação–instalação</x:v>
      </x:c>
      <x:c r="F10" s="18" t="str">
        <x:v>Concluído</x:v>
      </x:c>
      <x:c r="G10" s="18" t="str">
        <x:v>1.Problema</x:v>
      </x:c>
      <x:c r="H10" s="18" t="str">
        <x:v>Slides do projeto, p. 2</x:v>
      </x:c>
    </x:row>
    <x:row r="11" ht="15" hidden="0" customHeight="1">
      <x:c r="A11" s="18" t="str">
        <x:v>2</x:v>
      </x:c>
      <x:c r="B11" s="18" t="str">
        <x:v>Descoberta</x:v>
      </x:c>
      <x:c r="C11" s="18" t="str">
        <x:v>Semana 3</x:v>
      </x:c>
      <x:c r="D11" s="18" t="str">
        <x:v>Observar o contexto e ouvir os atores</x:v>
      </x:c>
      <x:c r="E11" s="18" t="str">
        <x:v>Registros de campo e entrevistas</x:v>
      </x:c>
      <x:c r="F11" s="18" t="str">
        <x:v>Concluído</x:v>
      </x:c>
      <x:c r="G11" s="18" t="str">
        <x:v>2.Evidências</x:v>
      </x:c>
      <x:c r="H11" s="18" t="str">
        <x:v>Slides do projeto, p. 3</x:v>
      </x:c>
    </x:row>
    <x:row r="12" ht="15" hidden="0" customHeight="1">
      <x:c r="A12" s="18" t="str">
        <x:v>3</x:v>
      </x:c>
      <x:c r="B12" s="18" t="str">
        <x:v>Planejamento do produto</x:v>
      </x:c>
      <x:c r="C12" s="18" t="str">
        <x:v>Semana 3</x:v>
      </x:c>
      <x:c r="D12" s="18" t="str">
        <x:v>Sustentar escala e buscar anterioridade</x:v>
      </x:c>
      <x:c r="E12" s="18" t="str">
        <x:v>Escala setorial e padrões de solução</x:v>
      </x:c>
      <x:c r="F12" s="18" t="str">
        <x:v>Concluído</x:v>
      </x:c>
      <x:c r="G12" s="18" t="str">
        <x:v>2.Evidências</x:v>
      </x:c>
      <x:c r="H12" s="18" t="str">
        <x:v>Slides do projeto, p. 5–6</x:v>
      </x:c>
    </x:row>
    <x:row r="13" ht="15" hidden="0" customHeight="1">
      <x:c r="A13" s="18" t="str">
        <x:v>4</x:v>
      </x:c>
      <x:c r="B13" s="18" t="str">
        <x:v>Definição</x:v>
      </x:c>
      <x:c r="C13" s="18" t="str">
        <x:v>Semana 3</x:v>
      </x:c>
      <x:c r="D13" s="18" t="str">
        <x:v>Delimitar problema e oportunidade</x:v>
      </x:c>
      <x:c r="E13" s="18" t="str">
        <x:v>Enunciados aprováveis no gate</x:v>
      </x:c>
      <x:c r="F13" s="18" t="str">
        <x:v>Concluído</x:v>
      </x:c>
      <x:c r="G13" s="18" t="str">
        <x:v>1.Problema</x:v>
      </x:c>
      <x:c r="H13" s="18" t="str">
        <x:v>Slides do projeto, p. 4, 7 e 9</x:v>
      </x:c>
    </x:row>
    <x:row r="14" ht="15" hidden="0" customHeight="1">
      <x:c r="A14" s="18" t="str">
        <x:v>5</x:v>
      </x:c>
      <x:c r="B14" s="18" t="str">
        <x:v>Projeto informacional</x:v>
      </x:c>
      <x:c r="C14" s="18" t="str">
        <x:v>Semana 4</x:v>
      </x:c>
      <x:c r="D14" s="18" t="str">
        <x:v>Revisar o escopo do produto</x:v>
      </x:c>
      <x:c r="E14" s="18" t="str">
        <x:v>Escopo, restrições e fronteiras</x:v>
      </x:c>
      <x:c r="F14" s="18" t="str">
        <x:v>A iniciar</x:v>
      </x:c>
      <x:c r="G14" s="18" t="str">
        <x:v>4.Ciclo de vida</x:v>
      </x:c>
      <x:c r="H14" s="18" t="str">
        <x:v>Aulas 7–8</x:v>
      </x:c>
    </x:row>
    <x:row r="15" ht="15" hidden="0" customHeight="1">
      <x:c r="A15" s="18" t="str">
        <x:v>6</x:v>
      </x:c>
      <x:c r="B15" s="18" t="str">
        <x:v>Projeto informacional</x:v>
      </x:c>
      <x:c r="C15" s="18" t="str">
        <x:v>Semana 4</x:v>
      </x:c>
      <x:c r="D15" s="18" t="str">
        <x:v>Definir ciclo de vida e clientes</x:v>
      </x:c>
      <x:c r="E15" s="18" t="str">
        <x:v>Mapa de clientes por etapa</x:v>
      </x:c>
      <x:c r="F15" s="18" t="str">
        <x:v>A iniciar</x:v>
      </x:c>
      <x:c r="G15" s="18" t="str">
        <x:v>4.Ciclo de vida</x:v>
      </x:c>
      <x:c r="H15" s="18" t="str">
        <x:v>Aulas 7–8</x:v>
      </x:c>
    </x:row>
    <x:row r="16" ht="15" hidden="0" customHeight="1">
      <x:c r="A16" s="18" t="str">
        <x:v>7</x:v>
      </x:c>
      <x:c r="B16" s="18" t="str">
        <x:v>Projeto informacional</x:v>
      </x:c>
      <x:c r="C16" s="18" t="str">
        <x:v>Semana 4</x:v>
      </x:c>
      <x:c r="D16" s="18" t="str">
        <x:v>Levantar necessidades dos clientes</x:v>
      </x:c>
      <x:c r="E16" s="18" t="str">
        <x:v>Necessidades rastreáveis à evidência</x:v>
      </x:c>
      <x:c r="F16" s="18" t="str">
        <x:v>A iniciar</x:v>
      </x:c>
      <x:c r="G16" s="18" t="str">
        <x:v>5.Necessidades</x:v>
      </x:c>
      <x:c r="H16" s="18" t="str">
        <x:v>Aulas 7–8</x:v>
      </x:c>
    </x:row>
    <x:row r="17" ht="15" hidden="0" customHeight="1">
      <x:c r="A17" s="18" t="str">
        <x:v>8</x:v>
      </x:c>
      <x:c r="B17" s="18" t="str">
        <x:v>Projeto informacional</x:v>
      </x:c>
      <x:c r="C17" s="18" t="str">
        <x:v>Semana 4</x:v>
      </x:c>
      <x:c r="D17" s="18" t="str">
        <x:v>Converter necessidades em requisitos</x:v>
      </x:c>
      <x:c r="E17" s="18" t="str">
        <x:v>Requisitos claros e sem solução embutida</x:v>
      </x:c>
      <x:c r="F17" s="18" t="str">
        <x:v>A iniciar</x:v>
      </x:c>
      <x:c r="G17" s="18" t="str">
        <x:v>6.Requisitos</x:v>
      </x:c>
      <x:c r="H17" s="18" t="str">
        <x:v>Aulas 7–8</x:v>
      </x:c>
    </x:row>
    <x:row r="18" ht="15" hidden="0" customHeight="1">
      <x:c r="A18" s="18" t="str">
        <x:v>9</x:v>
      </x:c>
      <x:c r="B18" s="18" t="str">
        <x:v>Projeto informacional</x:v>
      </x:c>
      <x:c r="C18" s="18" t="str">
        <x:v>Semana 5</x:v>
      </x:c>
      <x:c r="D18" s="18" t="str">
        <x:v>Classificar e priorizar requisitos</x:v>
      </x:c>
      <x:c r="E18" s="18" t="str">
        <x:v>Kano, Mudge, Pareto e benchmarking</x:v>
      </x:c>
      <x:c r="F18" s="18" t="str">
        <x:v>A iniciar</x:v>
      </x:c>
      <x:c r="G18" s="18" t="str">
        <x:v>7.Priorização</x:v>
      </x:c>
      <x:c r="H18" s="18" t="str">
        <x:v>Aulas 9–10</x:v>
      </x:c>
    </x:row>
    <x:row r="19" ht="15" hidden="0" customHeight="1">
      <x:c r="A19" s="18" t="str">
        <x:v>10</x:v>
      </x:c>
      <x:c r="B19" s="18" t="str">
        <x:v>Projeto informacional</x:v>
      </x:c>
      <x:c r="C19" s="18" t="str">
        <x:v>Semana 5</x:v>
      </x:c>
      <x:c r="D19" s="18" t="str">
        <x:v>Desdobrar a função qualidade</x:v>
      </x:c>
      <x:c r="E19" s="18" t="str">
        <x:v>QFD e especificações-meta</x:v>
      </x:c>
      <x:c r="F19" s="18" t="str">
        <x:v>A iniciar</x:v>
      </x:c>
      <x:c r="G19" s="18" t="str">
        <x:v>8.QFD</x:v>
      </x:c>
      <x:c r="H19" s="18" t="str">
        <x:v>Aulas 9–10</x:v>
      </x:c>
    </x:row>
    <x:row r="20" ht="15" hidden="0" customHeight="1">
      <x:c r="A20" s="18" t="str">
        <x:v>11</x:v>
      </x:c>
      <x:c r="B20" s="18" t="str">
        <x:v>Projeto conceitual</x:v>
      </x:c>
      <x:c r="C20" s="18" t="str">
        <x:v>Semanas 6–8</x:v>
      </x:c>
      <x:c r="D20" s="18" t="str">
        <x:v>Modelar funções e gerar princípios</x:v>
      </x:c>
      <x:c r="E20" s="18" t="str">
        <x:v>Estruturas funcionais, morfológica e TRIZ</x:v>
      </x:c>
      <x:c r="F20" s="18" t="str">
        <x:v>A iniciar</x:v>
      </x:c>
      <x:c r="G20" s="18" t="str">
        <x:v>9.Funções e soluções</x:v>
      </x:c>
      <x:c r="H20" s="18" t="str">
        <x:v>Aulas 11–16</x:v>
      </x:c>
    </x:row>
    <x:row r="21" ht="15" hidden="0" customHeight="1">
      <x:c r="A21" s="18" t="str">
        <x:v>12</x:v>
      </x:c>
      <x:c r="B21" s="18" t="str">
        <x:v>Projeto conceitual</x:v>
      </x:c>
      <x:c r="C21" s="18" t="str">
        <x:v>Semana 8</x:v>
      </x:c>
      <x:c r="D21" s="18" t="str">
        <x:v>Selecionar estrutura funcional</x:v>
      </x:c>
      <x:c r="E21" s="18" t="str">
        <x:v>Matriz de Pugh</x:v>
      </x:c>
      <x:c r="F21" s="18" t="str">
        <x:v>A iniciar</x:v>
      </x:c>
      <x:c r="G21" s="18" t="str">
        <x:v>10.Seleção e arquitetura</x:v>
      </x:c>
      <x:c r="H21" s="18" t="str">
        <x:v>Aulas 15–16</x:v>
      </x:c>
    </x:row>
    <x:row r="22" ht="15" hidden="0" customHeight="1">
      <x:c r="A22" s="18" t="str">
        <x:v>13</x:v>
      </x:c>
      <x:c r="B22" s="18" t="str">
        <x:v>Projeto conceitual</x:v>
      </x:c>
      <x:c r="C22" s="18" t="str">
        <x:v>Semana 9</x:v>
      </x:c>
      <x:c r="D22" s="18" t="str">
        <x:v>Definir arquitetura do produto</x:v>
      </x:c>
      <x:c r="E22" s="18" t="str">
        <x:v>Módulos, interfaces e MIM</x:v>
      </x:c>
      <x:c r="F22" s="18" t="str">
        <x:v>A iniciar</x:v>
      </x:c>
      <x:c r="G22" s="18" t="str">
        <x:v>10.Seleção e arquitetura</x:v>
      </x:c>
      <x:c r="H22" s="18" t="str">
        <x:v>Aulas 17–18</x:v>
      </x:c>
    </x:row>
    <x:row r="23" ht="15" hidden="0" customHeight="1">
      <x:c r="A23" s="18" t="str">
        <x:v>14</x:v>
      </x:c>
      <x:c r="B23" s="18" t="str">
        <x:v>Projeto conceitual</x:v>
      </x:c>
      <x:c r="C23" s="18" t="str">
        <x:v>Semana 10</x:v>
      </x:c>
      <x:c r="D23" s="18" t="str">
        <x:v>Gerar e selecionar concepções</x:v>
      </x:c>
      <x:c r="E23" s="18" t="str">
        <x:v>Concepção, protótipo, MVP e TRL</x:v>
      </x:c>
      <x:c r="F23" s="18" t="str">
        <x:v>A iniciar</x:v>
      </x:c>
      <x:c r="G23" s="18" t="str">
        <x:v>10.Seleção e arquitetura</x:v>
      </x:c>
      <x:c r="H23" s="18" t="str">
        <x:v>Aulas 19–20</x:v>
      </x:c>
    </x:row>
    <x:row r="24" ht="15" hidden="0" customHeight="1">
      <x:c r="A24" s="18" t="str">
        <x:v>15</x:v>
      </x:c>
      <x:c r="B24" s="18" t="str">
        <x:v>Projeto conceitual</x:v>
      </x:c>
      <x:c r="C24" s="18" t="str">
        <x:v>Semanas 11–12</x:v>
      </x:c>
      <x:c r="D24" s="18" t="str">
        <x:v>Selecionar materiais e avaliar valor</x:v>
      </x:c>
      <x:c r="E24" s="18" t="str">
        <x:v>Materiais, DfX e análise de valor</x:v>
      </x:c>
      <x:c r="F24" s="18" t="str">
        <x:v>A iniciar</x:v>
      </x:c>
      <x:c r="G24" s="18" t="str">
        <x:v>11.Riscos e valor</x:v>
      </x:c>
      <x:c r="H24" s="18" t="str">
        <x:v>Aulas 21–22</x:v>
      </x:c>
    </x:row>
    <x:row r="25" ht="15" hidden="0" customHeight="1">
      <x:c r="A25" s="18" t="str">
        <x:v>16</x:v>
      </x:c>
      <x:c r="B25" s="18" t="str">
        <x:v>Projeto detalhado</x:v>
      </x:c>
      <x:c r="C25" s="18" t="str">
        <x:v>Semana 12</x:v>
      </x:c>
      <x:c r="D25" s="18" t="str">
        <x:v>Detalhar produto e suprimentos</x:v>
      </x:c>
      <x:c r="E25" s="18" t="str">
        <x:v>Especificações finais e fornecedores</x:v>
      </x:c>
      <x:c r="F25" s="18" t="str">
        <x:v>A iniciar</x:v>
      </x:c>
      <x:c r="G25" s="18" t="str">
        <x:v>11.Riscos e valor</x:v>
      </x:c>
      <x:c r="H25" s="18" t="str">
        <x:v>Projeto detalhado</x:v>
      </x:c>
    </x:row>
    <x:row r="26" ht="15" hidden="0" customHeight="1">
      <x:c r="A26" s="18" t="str">
        <x:v>17</x:v>
      </x:c>
      <x:c r="B26" s="18" t="str">
        <x:v>Preparação da produção</x:v>
      </x:c>
      <x:c r="C26" s="18" t="str">
        <x:v>Semana 13</x:v>
      </x:c>
      <x:c r="D26" s="18" t="str">
        <x:v>Analisar falhas e preparar produção</x:v>
      </x:c>
      <x:c r="E26" s="18" t="str">
        <x:v>FMEA, lote piloto e homologação</x:v>
      </x:c>
      <x:c r="F26" s="18" t="str">
        <x:v>A iniciar</x:v>
      </x:c>
      <x:c r="G26" s="18" t="str">
        <x:v>11.Riscos e valor</x:v>
      </x:c>
      <x:c r="H26" s="18" t="str">
        <x:v>Aulas 23–24</x:v>
      </x:c>
    </x:row>
    <x:row r="27" ht="15" hidden="0" customHeight="1">
      <x:c r="A27" s="18" t="str">
        <x:v>18</x:v>
      </x:c>
      <x:c r="B27" s="18" t="str">
        <x:v>Gestão do projeto</x:v>
      </x:c>
      <x:c r="C27" s="18" t="str">
        <x:v>Contínuo</x:v>
      </x:c>
      <x:c r="D27" s="18" t="str">
        <x:v>Registrar decisões e pendências</x:v>
      </x:c>
      <x:c r="E27" s="18" t="str">
        <x:v>Histórico verificável</x:v>
      </x:c>
      <x:c r="F27" s="18" t="str">
        <x:v>Em andamento</x:v>
      </x:c>
      <x:c r="G27" s="18" t="str">
        <x:v>12.Pendências</x:v>
      </x:c>
      <x:c r="H27" s="18" t="str">
        <x:v>Atualização contínua</x:v>
      </x:c>
    </x:row>
  </x:sheetData>
  <x:mergeCells>
    <x:mergeCell ref="A2:H2"/>
    <x:mergeCell ref="A4:H4"/>
    <x:mergeCell ref="A8:H8"/>
  </x:mergeCells>
  <x:conditionalFormatting sqref="F10:F27">
    <x:cfRule type="containsText" dxfId="0" priority="1" operator="containsText" text="Concluído"/>
    <x:cfRule type="containsText" dxfId="1" priority="2" operator="containsText" text="Em andamento"/>
    <x:cfRule type="containsText" dxfId="2" priority="3" operator="containsText" text="A iniciar"/>
  </x:conditionalFormatting>
  <x:dataValidations count="1">
    <x:dataValidation type="list" sqref="F10:F27">
      <x:formula1>"Concluído,Em andamento,A iniciar"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B2447"/>
  </x:sheetPr>
  <x:sheetViews>
    <x:sheetView showGridLines="0" workbookViewId="0"/>
  </x:sheetViews>
  <x:sheetFormatPr defaultRowHeight="15"/>
  <x:cols>
    <x:col min="1" max="1" width="24" hidden="0" customWidth="1"/>
    <x:col min="2" max="2" width="4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0" hidden="0" customWidth="1"/>
  </x:cols>
  <x:sheetData>
    <x:row r="2" ht="30" customHeight="1">
      <x:c r="A2" s="2" t="str">
        <x:v>Definição do problema</x:v>
      </x:c>
      <x:c r="B2" s="2"/>
      <x:c r="C2" s="2"/>
      <x:c r="D2" s="2"/>
      <x:c r="E2" s="2"/>
      <x:c r="F2" s="2"/>
      <x:c r="G2" s="2"/>
    </x:row>
    <x:row r="3">
      <x:c r="A3" s="3"/>
      <x:c r="B3" s="3"/>
      <x:c r="C3" s="3"/>
      <x:c r="D3" s="3"/>
      <x:c r="E3" s="3"/>
      <x:c r="F3" s="3"/>
      <x:c r="G3" s="3"/>
    </x:row>
    <x:row r="4" ht="34" customHeight="1">
      <x:c r="A4" s="6" t="str">
        <x:v>Recorte atual: avarias de louças sanitárias no transporte entre o distribuidor e a obra.</x:v>
      </x:c>
      <x:c r="B4" s="6"/>
      <x:c r="C4" s="6"/>
      <x:c r="D4" s="6"/>
      <x:c r="E4" s="6"/>
      <x:c r="F4" s="6"/>
      <x:c r="G4" s="6"/>
    </x:row>
    <x:row r="6" ht="23" customHeight="1">
      <x:c r="A6" s="14" t="str">
        <x:v>Síntese do recorte</x:v>
      </x:c>
      <x:c r="B6" s="14"/>
      <x:c r="C6" s="14"/>
      <x:c r="D6" s="14"/>
      <x:c r="E6" s="14"/>
      <x:c r="F6" s="14"/>
      <x:c r="G6" s="14"/>
    </x:row>
    <x:row r="7" ht="15" hidden="0" customHeight="1">
      <x:c r="A7" s="22" t="str">
        <x:v>Pergunta</x:v>
      </x:c>
      <x:c r="B7" s="22" t="str">
        <x:v>Resposta sustentada</x:v>
      </x:c>
    </x:row>
    <x:row r="8" ht="24" hidden="0" customHeight="1">
      <x:c r="A8" s="18" t="str">
        <x:v>Onde ocorre o elo crítico?</x:v>
      </x:c>
      <x:c r="B8" s="18" t="str">
        <x:v>No transporte de distribuição entre o estoque/loja e a obra, com descarga e múltiplos manuseios.</x:v>
      </x:c>
    </x:row>
    <x:row r="9" ht="24" hidden="0" customHeight="1">
      <x:c r="A9" s="18" t="str">
        <x:v>Quem absorve diretamente?</x:v>
      </x:c>
      <x:c r="B9" s="18" t="str">
        <x:v>O distribuidor, por meio de reposição, crédito ao cliente e nova logística.</x:v>
      </x:c>
    </x:row>
    <x:row r="10" ht="36" hidden="0" customHeight="1">
      <x:c r="A10" s="18" t="str">
        <x:v>Por que o problema persiste?</x:v>
      </x:c>
      <x:c r="B10" s="18" t="str">
        <x:v>Existe tensão entre maior proteção e preço competitivo. As alternativas de alta proteção podem elevar custo e volume logístico.</x:v>
      </x:c>
    </x:row>
    <x:row r="11"/>
    <x:row r="12" ht="15" hidden="0" customHeight="1">
      <x:c r="A12" s="14" t="str">
        <x:v>Cadeia observada</x:v>
      </x:c>
      <x:c r="B12" s="14"/>
      <x:c r="C12" s="14"/>
      <x:c r="D12" s="14"/>
      <x:c r="E12" s="14"/>
      <x:c r="F12" s="14"/>
      <x:c r="G12" s="14"/>
    </x:row>
    <x:row r="13" ht="15" hidden="0" customHeight="1">
      <x:c r="A13" s="22" t="str">
        <x:v>Etapa</x:v>
      </x:c>
      <x:c r="B13" s="22" t="str">
        <x:v>Fabricação/distribuição</x:v>
      </x:c>
      <x:c r="C13" s="22" t="str">
        <x:v>Transporte externo</x:v>
      </x:c>
      <x:c r="D13" s="22" t="str">
        <x:v>Recebimento/abertura</x:v>
      </x:c>
      <x:c r="E13" s="22" t="str">
        <x:v>Movimentação interna</x:v>
      </x:c>
      <x:c r="F13" s="22" t="str">
        <x:v>Instalação</x:v>
      </x:c>
      <x:c r="G13" s="22" t="str">
        <x:v>Situação atual</x:v>
      </x:c>
    </x:row>
    <x:row r="14" ht="15" hidden="0" customHeight="1">
      <x:c r="A14" s="18" t="str">
        <x:v>Papel</x:v>
      </x:c>
      <x:c r="B14" s="18" t="str">
        <x:v>Preparar e expedir</x:v>
      </x:c>
      <x:c r="C14" s="18" t="str">
        <x:v>Levar até a obra</x:v>
      </x:c>
      <x:c r="D14" s="18" t="str">
        <x:v>Descarregar e conferir</x:v>
      </x:c>
      <x:c r="E14" s="18" t="str">
        <x:v>Levar até o ponto de uso</x:v>
      </x:c>
      <x:c r="F14" s="18" t="str">
        <x:v>Instalar a louça</x:v>
      </x:c>
      <x:c r="G14" s="18" t="str">
        <x:v>Mapeada</x:v>
      </x:c>
    </x:row>
    <x:row r="15" ht="24" hidden="0" customHeight="1">
      <x:c r="A15" s="18" t="str">
        <x:v>Evidência disponível</x:v>
      </x:c>
      <x:c r="B15" s="18" t="str">
        <x:v>Escala setorial</x:v>
      </x:c>
      <x:c r="C15" s="18" t="str">
        <x:v>Distribuidor associa avarias ao trecho</x:v>
      </x:c>
      <x:c r="D15" s="18" t="str">
        <x:v>Peças podem chegar trincadas</x:v>
      </x:c>
      <x:c r="E15" s="18" t="str">
        <x:v>Quedas no transporte manual sem acesso para carrinho</x:v>
      </x:c>
      <x:c r="F15" s="18" t="str">
        <x:v>A avaria pode se tornar visível nesta etapa</x:v>
      </x:c>
      <x:c r="G15" s="18" t="str">
        <x:v>Qualitativa</x:v>
      </x:c>
    </x:row>
    <x:row r="16" ht="24" hidden="0" customHeight="1">
      <x:c r="A16" s="18" t="str">
        <x:v>Risco</x:v>
      </x:c>
      <x:c r="B16" s="18" t="str">
        <x:v>Dano latente</x:v>
      </x:c>
      <x:c r="C16" s="18" t="str">
        <x:v>Impacto/vibração/manuseio</x:v>
      </x:c>
      <x:c r="D16" s="18" t="str">
        <x:v>Fragmentos na abertura</x:v>
      </x:c>
      <x:c r="E16" s="18" t="str">
        <x:v>Queda e esforço manual</x:v>
      </x:c>
      <x:c r="F16" s="18" t="str">
        <x:v>Retrabalho e risco ao trabalhador</x:v>
      </x:c>
      <x:c r="G16" s="18" t="str">
        <x:v>A validar</x:v>
      </x:c>
    </x:row>
    <x:row r="17" ht="15" hidden="0" customHeight="1">
      <x:c r="A17" s="18" t="str">
        <x:v>Decisão futura</x:v>
      </x:c>
      <x:c r="B17" s="18" t="str">
        <x:v>Embalagem e unitização</x:v>
      </x:c>
      <x:c r="C17" s="18" t="str">
        <x:v>Proteção e movimentação</x:v>
      </x:c>
      <x:c r="D17" s="18" t="str">
        <x:v>Conferência segura</x:v>
      </x:c>
      <x:c r="E17" s="18" t="str">
        <x:v>Acesso e auxílio de transporte</x:v>
      </x:c>
      <x:c r="F17" s="18" t="str">
        <x:v>Critério de aceitação</x:v>
      </x:c>
      <x:c r="G17" s="18" t="str">
        <x:v>Projeto informacional</x:v>
      </x:c>
    </x:row>
    <x:row r="18" ht="15" hidden="0" customHeight="1">
      <x:c r="A18" s="18" t="str">
        <x:v>Fonte</x:v>
      </x:c>
      <x:c r="B18" s="18" t="str">
        <x:v>E-06</x:v>
      </x:c>
      <x:c r="C18" s="18" t="str">
        <x:v>E-03</x:v>
      </x:c>
      <x:c r="D18" s="18" t="str">
        <x:v>E-04</x:v>
      </x:c>
      <x:c r="E18" s="18" t="str">
        <x:v>E-04</x:v>
      </x:c>
      <x:c r="F18" s="18" t="str">
        <x:v>E-05</x:v>
      </x:c>
      <x:c r="G18" s="18" t="str">
        <x:v>2.Evidências</x:v>
      </x:c>
    </x:row>
    <x:row r="19"/>
    <x:row r="20" ht="15" hidden="0" customHeight="1">
      <x:c r="A20" s="14" t="str">
        <x:v>Enunciados de projeto</x:v>
      </x:c>
      <x:c r="B20" s="14"/>
      <x:c r="C20" s="14"/>
      <x:c r="D20" s="14"/>
      <x:c r="E20" s="14"/>
      <x:c r="F20" s="14"/>
      <x:c r="G20" s="14"/>
    </x:row>
    <x:row r="21" ht="60" hidden="0" customHeight="1">
      <x:c r="A21" s="24" t="str">
        <x:v>Problema definido</x:v>
      </x:c>
      <x:c r="B21" s="18" t="str">
        <x:v>A quebra no transporte entre distribuidor e obra pode permanecer oculta até o recebimento ou a instalação. O evento gera reposição, nova entrega, atraso, desperdício e exposição do trabalhador a peças avariadas ou fragmentos cortantes.</x:v>
      </x:c>
    </x:row>
    <x:row r="22" ht="48" hidden="0" customHeight="1">
      <x:c r="A22" s="24" t="str">
        <x:v>Opportunity statement</x:v>
      </x:c>
      <x:c r="B22" s="18" t="str">
        <x:v>Como podemos reduzir as avarias de louças sanitárias no transporte entre o distribuidor e a obra, diminuindo custos de reposição, atrasos e riscos aos trabalhadores, sem inviabilizar comercialmente o produto ou a operação?</x:v>
      </x:c>
    </x:row>
  </x:sheetData>
  <x:mergeCells>
    <x:mergeCell ref="A2:G2"/>
    <x:mergeCell ref="A4:G4"/>
    <x:mergeCell ref="A6:G6"/>
    <x:mergeCell ref="A12:G12"/>
    <x:mergeCell ref="A20:G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0B2447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24" hidden="0" customWidth="1"/>
    <x:col min="3" max="3" width="22" hidden="0" customWidth="1"/>
    <x:col min="4" max="4" width="48" hidden="0" customWidth="1"/>
    <x:col min="5" max="5" width="48" hidden="0" customWidth="1"/>
    <x:col min="6" max="6" width="36" hidden="0" customWidth="1"/>
    <x:col min="7" max="7" width="9" hidden="0" customWidth="1"/>
  </x:cols>
  <x:sheetData>
    <x:row r="2" ht="30" customHeight="1">
      <x:c r="A2" s="2" t="str">
        <x:v>Base de evidências</x:v>
      </x:c>
      <x:c r="B2" s="2"/>
      <x:c r="C2" s="2"/>
      <x:c r="D2" s="2"/>
      <x:c r="E2" s="2"/>
      <x:c r="F2" s="2"/>
      <x:c r="G2" s="2"/>
    </x:row>
    <x:row r="3">
      <x:c r="A3" s="3"/>
      <x:c r="B3" s="3"/>
      <x:c r="C3" s="3"/>
      <x:c r="D3" s="3"/>
      <x:c r="E3" s="3"/>
      <x:c r="F3" s="3"/>
      <x:c r="G3" s="3"/>
    </x:row>
    <x:row r="4" ht="34" customHeight="1">
      <x:c r="A4" s="6" t="str">
        <x:v>Cada afirmação relevante possui um identificador, uma origem e um limite explícito.</x:v>
      </x:c>
      <x:c r="B4" s="6"/>
      <x:c r="C4" s="6"/>
      <x:c r="D4" s="6"/>
      <x:c r="E4" s="6"/>
      <x:c r="F4" s="6"/>
      <x:c r="G4" s="6"/>
    </x:row>
    <x:row r="6" ht="15" hidden="0" customHeight="1">
      <x:c r="A6" s="22" t="str">
        <x:v>ID</x:v>
      </x:c>
      <x:c r="B6" s="22" t="str">
        <x:v>Origem</x:v>
      </x:c>
      <x:c r="C6" s="22" t="str">
        <x:v>Contexto/ator</x:v>
      </x:c>
      <x:c r="D6" s="22" t="str">
        <x:v>Evidência</x:v>
      </x:c>
      <x:c r="E6" s="22" t="str">
        <x:v>Implicação para o projeto</x:v>
      </x:c>
      <x:c r="F6" s="22" t="str">
        <x:v>Limite</x:v>
      </x:c>
      <x:c r="G6" s="22" t="str">
        <x:v>Página</x:v>
      </x:c>
    </x:row>
    <x:row r="7" ht="24" hidden="0" customHeight="1">
      <x:c r="A7" s="18" t="str">
        <x:v>E-01</x:v>
      </x:c>
      <x:c r="B7" s="18" t="str">
        <x:v>Apresentação Semana 03</x:v>
      </x:c>
      <x:c r="C7" s="18" t="str">
        <x:v>Mapa da cadeia</x:v>
      </x:c>
      <x:c r="D7" s="18" t="str">
        <x:v>O fluxo considerado inclui fabricação, distribuição, transporte, recebimento, movimentação interna e instalação.</x:v>
      </x:c>
      <x:c r="E7" s="18" t="str">
        <x:v>O problema precisa ser localizado em uma etapa da cadeia, sem assumir que a avaria nasce onde fica visível.</x:v>
      </x:c>
      <x:c r="F7" s="18" t="str">
        <x:v>Mapa qualitativo.</x:v>
      </x:c>
      <x:c r="G7" s="18" t="n">
        <x:v>2</x:v>
      </x:c>
    </x:row>
    <x:row r="8" ht="24" hidden="0" customHeight="1">
      <x:c r="A8" s="18" t="str">
        <x:v>E-02</x:v>
      </x:c>
      <x:c r="B8" s="18" t="str">
        <x:v>Apresentação Semana 03</x:v>
      </x:c>
      <x:c r="C8" s="18" t="str">
        <x:v>Obra residencial</x:v>
      </x:c>
      <x:c r="D8" s="18" t="str">
        <x:v>A equipe acompanhou recebimento, estoque e movimentação de louças em uma obra em acabamento.</x:v>
      </x:c>
      <x:c r="E8" s="18" t="str">
        <x:v>A observação cobre o ambiente real de obra e sustenta o recorte de campo.</x:v>
      </x:c>
      <x:c r="F8" s="18" t="str">
        <x:v>Não informa tamanho de amostra ou duração.</x:v>
      </x:c>
      <x:c r="G8" s="18" t="n">
        <x:v>3</x:v>
      </x:c>
    </x:row>
    <x:row r="9" ht="24" hidden="0" customHeight="1">
      <x:c r="A9" s="18" t="str">
        <x:v>E-03</x:v>
      </x:c>
      <x:c r="B9" s="18" t="str">
        <x:v>Apresentação Semana 03</x:v>
      </x:c>
      <x:c r="C9" s="18" t="str">
        <x:v>Distribuidor Só Reparos</x:v>
      </x:c>
      <x:c r="D9" s="18" t="str">
        <x:v>O distribuidor associou as avarias principalmente ao transporte entre o estoque da loja e a obra.</x:v>
      </x:c>
      <x:c r="E9" s="18" t="str">
        <x:v>O trecho de distribuição é o elo crítico preliminar.</x:v>
      </x:c>
      <x:c r="F9" s="18" t="str">
        <x:v>Relato de um ator. Requer dados operacionais.</x:v>
      </x:c>
      <x:c r="G9" s="18" t="n">
        <x:v>3</x:v>
      </x:c>
    </x:row>
    <x:row r="10" ht="24" hidden="0" customHeight="1">
      <x:c r="A10" s="18" t="str">
        <x:v>E-04</x:v>
      </x:c>
      <x:c r="B10" s="18" t="str">
        <x:v>Apresentação Semana 03</x:v>
      </x:c>
      <x:c r="C10" s="18" t="str">
        <x:v>Operário Lucas</x:v>
      </x:c>
      <x:c r="D10" s="18" t="str">
        <x:v>Foram relatadas peças que chegam trincadas, quedas na descarga e transporte manual quando não há acesso para carrinho.</x:v>
      </x:c>
      <x:c r="E10" s="18" t="str">
        <x:v>Há dano do produto e exposição humana durante descarga e movimentação.</x:v>
      </x:c>
      <x:c r="F10" s="18" t="str">
        <x:v>Relato qualitativo. Frequência não medida.</x:v>
      </x:c>
      <x:c r="G10" s="18" t="n">
        <x:v>3</x:v>
      </x:c>
    </x:row>
    <x:row r="11" ht="24" hidden="0" customHeight="1">
      <x:c r="A11" s="18" t="str">
        <x:v>E-05</x:v>
      </x:c>
      <x:c r="B11" s="18" t="str">
        <x:v>Apresentação Semana 03</x:v>
      </x:c>
      <x:c r="C11" s="18" t="str">
        <x:v>Convergência de campo</x:v>
      </x:c>
      <x:c r="D11" s="18" t="str">
        <x:v>Obra, operário e distribuidor convergem para uma avaria anterior à instalação, com foco no transporte de distribuição.</x:v>
      </x:c>
      <x:c r="E11" s="18" t="str">
        <x:v>O problema pode ser delimitado antes de propor solução.</x:v>
      </x:c>
      <x:c r="F11" s="18" t="str">
        <x:v>Convergência não substitui medição da taxa de quebra.</x:v>
      </x:c>
      <x:c r="G11" s="18" t="n">
        <x:v>3</x:v>
      </x:c>
    </x:row>
    <x:row r="12" ht="36" hidden="0" customHeight="1">
      <x:c r="A12" s="18" t="str">
        <x:v>E-06</x:v>
      </x:c>
      <x:c r="B12" s="18" t="str">
        <x:v>ANFACER citada na apresentação</x:v>
      </x:c>
      <x:c r="C12" s="18" t="str">
        <x:v>Escala setorial brasileira</x:v>
      </x:c>
      <x:c r="D12" s="18" t="str">
        <x:v>A apresentação registra 22 milhões de peças/ano, 26 unidades fabris de médio e grande porte, 8 estados produtores e aproximadamente 7 mil empregos diretos.</x:v>
      </x:c>
      <x:c r="E12" s="18" t="str">
        <x:v>A cadeia possui escala e recorrência potencial de exposição.</x:v>
      </x:c>
      <x:c r="F12" s="18" t="str">
        <x:v>Os números não comprovam taxa de quebra.</x:v>
      </x:c>
      <x:c r="G12" s="18" t="n">
        <x:v>5</x:v>
      </x:c>
    </x:row>
    <x:row r="13" ht="24" hidden="0" customHeight="1">
      <x:c r="A13" s="18" t="str">
        <x:v>E-07</x:v>
      </x:c>
      <x:c r="B13" s="18" t="str">
        <x:v>Busca preliminar em Google Patents</x:v>
      </x:c>
      <x:c r="C13" s="18" t="str">
        <x:v>Anterioridade tecnológica</x:v>
      </x:c>
      <x:c r="D13" s="18" t="str">
        <x:v>As patentes exibidas tratam de amortecimento, imobilização, resistência e otimização de volume para louças no transporte.</x:v>
      </x:c>
      <x:c r="E13" s="18" t="str">
        <x:v>Já existem famílias de solução. O projeto precisa investigar lacunas de custo, operação e proteção.</x:v>
      </x:c>
      <x:c r="F13" s="18" t="str">
        <x:v>Não constitui parecer de patenteabilidade ou liberdade de operação.</x:v>
      </x:c>
      <x:c r="G13" s="18" t="n">
        <x:v>6</x:v>
      </x:c>
    </x:row>
  </x:sheetData>
  <x:mergeCells>
    <x:mergeCell ref="A2:G2"/>
    <x:mergeCell ref="A4:G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63E6C"/>
  </x:sheetPr>
  <x:sheetViews>
    <x:sheetView showGridLines="0" workbookViewId="0"/>
  </x:sheetViews>
  <x:sheetFormatPr defaultRowHeight="15"/>
  <x:cols>
    <x:col min="1" max="1" width="28" hidden="0" customWidth="1"/>
    <x:col min="2" max="2" width="34" hidden="0" customWidth="1"/>
    <x:col min="3" max="3" width="44" hidden="0" customWidth="1"/>
    <x:col min="4" max="4" width="36" hidden="0" customWidth="1"/>
    <x:col min="5" max="5" width="36" hidden="0" customWidth="1"/>
    <x:col min="6" max="6" width="12" hidden="0" customWidth="1"/>
    <x:col min="7" max="7" width="22" hidden="0" customWidth="1"/>
  </x:cols>
  <x:sheetData>
    <x:row r="2" ht="30" customHeight="1">
      <x:c r="A2" s="2" t="str">
        <x:v>Stakeholders preliminares</x:v>
      </x:c>
      <x:c r="B2" s="2"/>
      <x:c r="C2" s="2"/>
      <x:c r="D2" s="2"/>
      <x:c r="E2" s="2"/>
      <x:c r="F2" s="2"/>
      <x:c r="G2" s="2"/>
    </x:row>
    <x:row r="3">
      <x:c r="A3" s="3"/>
      <x:c r="B3" s="3"/>
      <x:c r="C3" s="3"/>
      <x:c r="D3" s="3"/>
      <x:c r="E3" s="3"/>
      <x:c r="F3" s="3"/>
      <x:c r="G3" s="3"/>
    </x:row>
    <x:row r="4" ht="34" customHeight="1">
      <x:c r="A4" s="6" t="str">
        <x:v>Mapa inicial para orientar entrevistas. Classificações ainda precisam ser confirmadas na fase de projeto informacional.</x:v>
      </x:c>
      <x:c r="B4" s="6"/>
      <x:c r="C4" s="6"/>
      <x:c r="D4" s="6"/>
      <x:c r="E4" s="6"/>
      <x:c r="F4" s="6"/>
      <x:c r="G4" s="6"/>
    </x:row>
    <x:row r="6" ht="15" hidden="0" customHeight="1">
      <x:c r="A6" s="22" t="str">
        <x:v>Stakeholder</x:v>
      </x:c>
      <x:c r="B6" s="22" t="str">
        <x:v>Papel na cadeia</x:v>
      </x:c>
      <x:c r="C6" s="22" t="str">
        <x:v>Contato com o problema</x:v>
      </x:c>
      <x:c r="D6" s="22" t="str">
        <x:v>Impacto observado ou provável</x:v>
      </x:c>
      <x:c r="E6" s="22" t="str">
        <x:v>Decisão que influencia</x:v>
      </x:c>
      <x:c r="F6" s="22" t="str">
        <x:v>Base</x:v>
      </x:c>
      <x:c r="G6" s="22" t="str">
        <x:v>Status</x:v>
      </x:c>
    </x:row>
    <x:row r="7" ht="15" hidden="0" customHeight="1">
      <x:c r="A7" s="18" t="str">
        <x:v>Distribuidor</x:v>
      </x:c>
      <x:c r="B7" s="18" t="str">
        <x:v>Expede, transporta e responde pela entrega</x:v>
      </x:c>
      <x:c r="C7" s="18" t="str">
        <x:v>Associa avarias ao transporte e absorve reposição/nova logística</x:v>
      </x:c>
      <x:c r="D7" s="18" t="str">
        <x:v>Custo, prazo e relacionamento com cliente</x:v>
      </x:c>
      <x:c r="E7" s="18" t="str">
        <x:v>Proteção, unitização, manuseio e política de entrega</x:v>
      </x:c>
      <x:c r="F7" s="18" t="str">
        <x:v>E-03</x:v>
      </x:c>
      <x:c r="G7" s="18" t="str">
        <x:v>Confirmado no campo</x:v>
      </x:c>
    </x:row>
    <x:row r="8" ht="15" hidden="0" customHeight="1">
      <x:c r="A8" s="18" t="str">
        <x:v>Trabalhador de descarga/movimentação</x:v>
      </x:c>
      <x:c r="B8" s="18" t="str">
        <x:v>Manipula as unidades na entrega e dentro da obra</x:v>
      </x:c>
      <x:c r="C8" s="18" t="str">
        <x:v>Pode enfrentar quedas, trincas e fragmentos</x:v>
      </x:c>
      <x:c r="D8" s="18" t="str">
        <x:v>Segurança, esforço e tempo</x:v>
      </x:c>
      <x:c r="E8" s="18" t="str">
        <x:v>Método de movimentação e conferência</x:v>
      </x:c>
      <x:c r="F8" s="18" t="str">
        <x:v>E-04</x:v>
      </x:c>
      <x:c r="G8" s="18" t="str">
        <x:v>Confirmado no campo</x:v>
      </x:c>
    </x:row>
    <x:row r="9" ht="15" hidden="0" customHeight="1">
      <x:c r="A9" s="18" t="str">
        <x:v>Responsável pela obra</x:v>
      </x:c>
      <x:c r="B9" s="18" t="str">
        <x:v>Planeja recebimento e acesso ao local</x:v>
      </x:c>
      <x:c r="C9" s="18" t="str">
        <x:v>Coordena descarga, armazenamento e instalação</x:v>
      </x:c>
      <x:c r="D9" s="18" t="str">
        <x:v>Atraso, retrabalho e fluxo da obra</x:v>
      </x:c>
      <x:c r="E9" s="18" t="str">
        <x:v>Janela de entrega e condições de acesso</x:v>
      </x:c>
      <x:c r="F9" s="18" t="str">
        <x:v>E-02/E-05</x:v>
      </x:c>
      <x:c r="G9" s="18" t="str">
        <x:v>A aprofundar</x:v>
      </x:c>
    </x:row>
    <x:row r="10" ht="15" hidden="0" customHeight="1">
      <x:c r="A10" s="18" t="str">
        <x:v>Instalador</x:v>
      </x:c>
      <x:c r="B10" s="18" t="str">
        <x:v>Confere e instala a louça</x:v>
      </x:c>
      <x:c r="C10" s="18" t="str">
        <x:v>Pode identificar dano latente na abertura/instalação</x:v>
      </x:c>
      <x:c r="D10" s="18" t="str">
        <x:v>Retrabalho e risco de corte</x:v>
      </x:c>
      <x:c r="E10" s="18" t="str">
        <x:v>Critérios de inspeção e aceitação</x:v>
      </x:c>
      <x:c r="F10" s="18" t="str">
        <x:v>E-05</x:v>
      </x:c>
      <x:c r="G10" s="18" t="str">
        <x:v>A aprofundar</x:v>
      </x:c>
    </x:row>
    <x:row r="11" ht="15" hidden="0" customHeight="1">
      <x:c r="A11" s="18" t="str">
        <x:v>Fabricante</x:v>
      </x:c>
      <x:c r="B11" s="18" t="str">
        <x:v>Projeta produto e embalagem primária</x:v>
      </x:c>
      <x:c r="C11" s="18" t="str">
        <x:v>Pode receber devoluções e requisitos logísticos</x:v>
      </x:c>
      <x:c r="D11" s="18" t="str">
        <x:v>Qualidade, custo e reputação</x:v>
      </x:c>
      <x:c r="E11" s="18" t="str">
        <x:v>Projeto da embalagem e especificações</x:v>
      </x:c>
      <x:c r="F11" s="18" t="str">
        <x:v>E-01/E-07</x:v>
      </x:c>
      <x:c r="G11" s="18" t="str">
        <x:v>Hipótese a validar</x:v>
      </x:c>
    </x:row>
    <x:row r="12" ht="15" hidden="0" customHeight="1">
      <x:c r="A12" s="18" t="str">
        <x:v>Comprador/cliente final</x:v>
      </x:c>
      <x:c r="B12" s="18" t="str">
        <x:v>Compra a louça ou contrata a obra</x:v>
      </x:c>
      <x:c r="C12" s="18" t="str">
        <x:v>Recebe atraso ou troca quando há avaria</x:v>
      </x:c>
      <x:c r="D12" s="18" t="str">
        <x:v>Prazo, confiança e custo indireto</x:v>
      </x:c>
      <x:c r="E12" s="18" t="str">
        <x:v>Aceitação e disposição a pagar por proteção</x:v>
      </x:c>
      <x:c r="F12" s="18" t="str">
        <x:v>E-05</x:v>
      </x:c>
      <x:c r="G12" s="18" t="str">
        <x:v>Hipótese a validar</x:v>
      </x:c>
    </x:row>
  </x:sheetData>
  <x:mergeCells>
    <x:mergeCell ref="A2:G2"/>
    <x:mergeCell ref="A4:G4"/>
  </x:mergeCells>
  <x:dataValidations count="1">
    <x:dataValidation type="list" sqref="G7:G12">
      <x:formula1>"Confirmado no campo,A aprofundar,Hipótese a validar"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63E6C"/>
  </x:sheetPr>
  <x:sheetViews>
    <x:sheetView showGridLines="0" workbookViewId="0"/>
  </x:sheetViews>
  <x:sheetFormatPr defaultRowHeight="15"/>
  <x:cols>
    <x:col min="1" max="1" width="27" hidden="0" customWidth="1"/>
    <x:col min="2" max="2" width="28" hidden="0" customWidth="1"/>
    <x:col min="3" max="3" width="34" hidden="0" customWidth="1"/>
    <x:col min="4" max="4" width="42" hidden="0" customWidth="1"/>
    <x:col min="5" max="5" width="30" hidden="0" customWidth="1"/>
    <x:col min="6" max="6" width="34" hidden="0" customWidth="1"/>
    <x:col min="7" max="7" width="16" hidden="0" customWidth="1"/>
  </x:cols>
  <x:sheetData>
    <x:row r="2" ht="30" customHeight="1">
      <x:c r="A2" s="2" t="str">
        <x:v>Ciclo de vida e clientes</x:v>
      </x:c>
      <x:c r="B2" s="2"/>
      <x:c r="C2" s="2"/>
      <x:c r="D2" s="2"/>
      <x:c r="E2" s="2"/>
      <x:c r="F2" s="2"/>
      <x:c r="G2" s="2"/>
    </x:row>
    <x:row r="3">
      <x:c r="A3" s="3"/>
      <x:c r="B3" s="3"/>
      <x:c r="C3" s="3"/>
      <x:c r="D3" s="3"/>
      <x:c r="E3" s="3"/>
      <x:c r="F3" s="3"/>
      <x:c r="G3" s="3"/>
    </x:row>
    <x:row r="4" ht="34" customHeight="1">
      <x:c r="A4" s="6" t="str">
        <x:v>Estrutura pronta para a Semana 4. O mapa da cadeia foi trazido do material do projeto; clientes, necessidades e critérios devem vir de pesquisa adicional.</x:v>
      </x:c>
      <x:c r="B4" s="6"/>
      <x:c r="C4" s="6"/>
      <x:c r="D4" s="6"/>
      <x:c r="E4" s="6"/>
      <x:c r="F4" s="6"/>
      <x:c r="G4" s="6"/>
    </x:row>
    <x:row r="6" ht="15" hidden="0" customHeight="1">
      <x:c r="A6" s="22" t="str">
        <x:v>Etapa</x:v>
      </x:c>
      <x:c r="B6" s="22" t="str">
        <x:v>Ator principal</x:v>
      </x:c>
      <x:c r="C6" s="22" t="str">
        <x:v>Cliente interno/intermediário/externo</x:v>
      </x:c>
      <x:c r="D6" s="22" t="str">
        <x:v>Necessidade</x:v>
      </x:c>
      <x:c r="E6" s="22" t="str">
        <x:v>Risco</x:v>
      </x:c>
      <x:c r="F6" s="22" t="str">
        <x:v>Método de coleta</x:v>
      </x:c>
      <x:c r="G6" s="22" t="str">
        <x:v>Status</x:v>
      </x:c>
    </x:row>
    <x:row r="7" ht="15" hidden="0" customHeight="1">
      <x:c r="A7" s="18" t="str">
        <x:v>Fabricação e expedição</x:v>
      </x:c>
      <x:c r="B7" s="18" t="str">
        <x:v>A identificar</x:v>
      </x:c>
      <x:c r="C7" s="18" t="str">
        <x:v>A classificar</x:v>
      </x:c>
      <x:c r="D7" s="18" t="str"/>
      <x:c r="E7" s="18" t="str">
        <x:v>Dano latente</x:v>
      </x:c>
      <x:c r="F7" s="18" t="str">
        <x:v>Entrevista e observação</x:v>
      </x:c>
      <x:c r="G7" s="18" t="str">
        <x:v>A iniciar</x:v>
      </x:c>
    </x:row>
    <x:row r="8" ht="15" hidden="0" customHeight="1">
      <x:c r="A8" s="18" t="str">
        <x:v>Distribuição e estoque</x:v>
      </x:c>
      <x:c r="B8" s="18" t="str">
        <x:v>Distribuidor</x:v>
      </x:c>
      <x:c r="C8" s="18" t="str">
        <x:v>A classificar</x:v>
      </x:c>
      <x:c r="D8" s="18" t="str"/>
      <x:c r="E8" s="18" t="str">
        <x:v>Armazenamento/manuseio</x:v>
      </x:c>
      <x:c r="F8" s="18" t="str">
        <x:v>Entrevista e dados de avaria</x:v>
      </x:c>
      <x:c r="G8" s="18" t="str">
        <x:v>A iniciar</x:v>
      </x:c>
    </x:row>
    <x:row r="9" ht="15" hidden="0" customHeight="1">
      <x:c r="A9" s="18" t="str">
        <x:v>Transporte externo</x:v>
      </x:c>
      <x:c r="B9" s="18" t="str">
        <x:v>Transportador/distribuidor</x:v>
      </x:c>
      <x:c r="C9" s="18" t="str">
        <x:v>A classificar</x:v>
      </x:c>
      <x:c r="D9" s="18" t="str"/>
      <x:c r="E9" s="18" t="str">
        <x:v>Impacto, vibração e tombamento</x:v>
      </x:c>
      <x:c r="F9" s="18" t="str">
        <x:v>Acompanhamento de rota</x:v>
      </x:c>
      <x:c r="G9" s="18" t="str">
        <x:v>A iniciar</x:v>
      </x:c>
    </x:row>
    <x:row r="10" ht="15" hidden="0" customHeight="1">
      <x:c r="A10" s="18" t="str">
        <x:v>Recebimento e abertura</x:v>
      </x:c>
      <x:c r="B10" s="18" t="str">
        <x:v>Obra/instalador</x:v>
      </x:c>
      <x:c r="C10" s="18" t="str">
        <x:v>A classificar</x:v>
      </x:c>
      <x:c r="D10" s="18" t="str"/>
      <x:c r="E10" s="18" t="str">
        <x:v>Fragmentos e dano oculto</x:v>
      </x:c>
      <x:c r="F10" s="18" t="str">
        <x:v>Observação e protocolo de conferência</x:v>
      </x:c>
      <x:c r="G10" s="18" t="str">
        <x:v>A iniciar</x:v>
      </x:c>
    </x:row>
    <x:row r="11" ht="15" hidden="0" customHeight="1">
      <x:c r="A11" s="18" t="str">
        <x:v>Movimentação interna</x:v>
      </x:c>
      <x:c r="B11" s="18" t="str">
        <x:v>Trabalhador da obra</x:v>
      </x:c>
      <x:c r="C11" s="18" t="str">
        <x:v>A classificar</x:v>
      </x:c>
      <x:c r="D11" s="18" t="str"/>
      <x:c r="E11" s="18" t="str">
        <x:v>Queda e esforço manual</x:v>
      </x:c>
      <x:c r="F11" s="18" t="str">
        <x:v>Shadowing e entrevista</x:v>
      </x:c>
      <x:c r="G11" s="18" t="str">
        <x:v>A iniciar</x:v>
      </x:c>
    </x:row>
    <x:row r="12" ht="15" hidden="0" customHeight="1">
      <x:c r="A12" s="18" t="str">
        <x:v>Instalação</x:v>
      </x:c>
      <x:c r="B12" s="18" t="str">
        <x:v>Instalador</x:v>
      </x:c>
      <x:c r="C12" s="18" t="str">
        <x:v>A classificar</x:v>
      </x:c>
      <x:c r="D12" s="18" t="str"/>
      <x:c r="E12" s="18" t="str">
        <x:v>Retrabalho e corte</x:v>
      </x:c>
      <x:c r="F12" s="18" t="str">
        <x:v>Observação e registro de ocorrência</x:v>
      </x:c>
      <x:c r="G12" s="18" t="str">
        <x:v>A iniciar</x:v>
      </x:c>
    </x:row>
    <x:row r="13" ht="15" hidden="0" customHeight="1">
      <x:c r="A13" s="18" t="str">
        <x:v>Uso, manutenção e fim de vida</x:v>
      </x:c>
      <x:c r="B13" s="18" t="str">
        <x:v>Cliente final</x:v>
      </x:c>
      <x:c r="C13" s="18" t="str">
        <x:v>A classificar</x:v>
      </x:c>
      <x:c r="D13" s="18" t="str"/>
      <x:c r="E13" s="18" t="str">
        <x:v>A definir</x:v>
      </x:c>
      <x:c r="F13" s="18" t="str">
        <x:v>Entrevista e análise de ciclo de vida</x:v>
      </x:c>
      <x:c r="G13" s="18" t="str">
        <x:v>A iniciar</x:v>
      </x:c>
    </x:row>
  </x:sheetData>
  <x:mergeCells>
    <x:mergeCell ref="A2:G2"/>
    <x:mergeCell ref="A4:G4"/>
  </x:mergeCells>
  <x:dataValidations count="1">
    <x:dataValidation type="list" sqref="G7:G13">
      <x:formula1>"A iniciar,Em andamento,Concluído"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C89B3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6" hidden="0" customWidth="1"/>
    <x:col min="4" max="4" width="48" hidden="0" customWidth="1"/>
    <x:col min="5" max="5" width="42" hidden="0" customWidth="1"/>
    <x:col min="6" max="6" width="16" hidden="0" customWidth="1"/>
    <x:col min="7" max="7" width="14" hidden="0" customWidth="1"/>
    <x:col min="8" max="8" width="14" hidden="0" customWidth="1"/>
  </x:cols>
  <x:sheetData>
    <x:row r="2" ht="30" customHeight="1">
      <x:c r="A2" s="2" t="str">
        <x:v>Necessidades dos clientes</x:v>
      </x:c>
      <x:c r="B2" s="2"/>
      <x:c r="C2" s="2"/>
      <x:c r="D2" s="2"/>
      <x:c r="E2" s="2"/>
      <x:c r="F2" s="2"/>
      <x:c r="G2" s="2"/>
      <x:c r="H2" s="2"/>
    </x:row>
    <x:row r="3">
      <x:c r="A3" s="3"/>
      <x:c r="B3" s="3"/>
      <x:c r="C3" s="3"/>
      <x:c r="D3" s="3"/>
      <x:c r="E3" s="3"/>
      <x:c r="F3" s="3"/>
      <x:c r="G3" s="3"/>
      <x:c r="H3" s="3"/>
    </x:row>
    <x:row r="4" ht="34" customHeight="1">
      <x:c r="A4" s="6" t="str">
        <x:v>Registrar a voz do cliente antes de escrever requisitos. Cada necessidade deve apontar para uma evidência de pesquisa.</x:v>
      </x:c>
      <x:c r="B4" s="6"/>
      <x:c r="C4" s="6"/>
      <x:c r="D4" s="6"/>
      <x:c r="E4" s="6"/>
      <x:c r="F4" s="6"/>
      <x:c r="G4" s="6"/>
      <x:c r="H4" s="6"/>
    </x:row>
    <x:row r="6" ht="32" customHeight="1">
      <x:c r="A6" s="22" t="str">
        <x:v>ID</x:v>
      </x:c>
      <x:c r="B6" s="22" t="str">
        <x:v>Etapa do ciclo de vida</x:v>
      </x:c>
      <x:c r="C6" s="22" t="str">
        <x:v>Stakeholder</x:v>
      </x:c>
      <x:c r="D6" s="22" t="str">
        <x:v>Fala/observação original</x:v>
      </x:c>
      <x:c r="E6" s="22" t="str">
        <x:v>Necessidade interpretada</x:v>
      </x:c>
      <x:c r="F6" s="22" t="str">
        <x:v>Tipo</x:v>
      </x:c>
      <x:c r="G6" s="22" t="str">
        <x:v>Evidência</x:v>
      </x:c>
      <x:c r="H6" s="22" t="str">
        <x:v>Status</x:v>
      </x:c>
    </x:row>
    <x:row r="7" ht="32" customHeight="1">
      <x:c r="A7" s="18" t="str">
        <x:v>N-01</x:v>
      </x:c>
      <x:c r="B7" s="25" t="str"/>
      <x:c r="C7" s="25" t="str"/>
      <x:c r="D7" s="25" t="str"/>
      <x:c r="E7" s="25" t="str"/>
      <x:c r="F7" s="25" t="str"/>
      <x:c r="G7" s="25" t="str"/>
      <x:c r="H7" s="18" t="str">
        <x:v>A iniciar</x:v>
      </x:c>
    </x:row>
    <x:row r="8" ht="32" customHeight="1">
      <x:c r="A8" s="18" t="str">
        <x:v>N-02</x:v>
      </x:c>
      <x:c r="B8" s="25" t="str"/>
      <x:c r="C8" s="25" t="str"/>
      <x:c r="D8" s="25" t="str"/>
      <x:c r="E8" s="25" t="str"/>
      <x:c r="F8" s="25" t="str"/>
      <x:c r="G8" s="25" t="str"/>
      <x:c r="H8" s="18" t="str">
        <x:v>A iniciar</x:v>
      </x:c>
    </x:row>
    <x:row r="9" ht="32" customHeight="1">
      <x:c r="A9" s="18" t="str">
        <x:v>N-03</x:v>
      </x:c>
      <x:c r="B9" s="25" t="str"/>
      <x:c r="C9" s="25" t="str"/>
      <x:c r="D9" s="25" t="str"/>
      <x:c r="E9" s="25" t="str"/>
      <x:c r="F9" s="25" t="str"/>
      <x:c r="G9" s="25" t="str"/>
      <x:c r="H9" s="18" t="str">
        <x:v>A iniciar</x:v>
      </x:c>
    </x:row>
    <x:row r="10" ht="32" customHeight="1">
      <x:c r="A10" s="18" t="str">
        <x:v>N-04</x:v>
      </x:c>
      <x:c r="B10" s="25" t="str"/>
      <x:c r="C10" s="25" t="str"/>
      <x:c r="D10" s="25" t="str"/>
      <x:c r="E10" s="25" t="str"/>
      <x:c r="F10" s="25" t="str"/>
      <x:c r="G10" s="25" t="str"/>
      <x:c r="H10" s="18" t="str">
        <x:v>A iniciar</x:v>
      </x:c>
    </x:row>
    <x:row r="11" ht="32" customHeight="1">
      <x:c r="A11" s="18" t="str">
        <x:v>N-05</x:v>
      </x:c>
      <x:c r="B11" s="25" t="str"/>
      <x:c r="C11" s="25" t="str"/>
      <x:c r="D11" s="25" t="str"/>
      <x:c r="E11" s="25" t="str"/>
      <x:c r="F11" s="25" t="str"/>
      <x:c r="G11" s="25" t="str"/>
      <x:c r="H11" s="18" t="str">
        <x:v>A iniciar</x:v>
      </x:c>
    </x:row>
    <x:row r="12" ht="32" customHeight="1">
      <x:c r="A12" s="18" t="str">
        <x:v>N-06</x:v>
      </x:c>
      <x:c r="B12" s="25" t="str"/>
      <x:c r="C12" s="25" t="str"/>
      <x:c r="D12" s="25" t="str"/>
      <x:c r="E12" s="25" t="str"/>
      <x:c r="F12" s="25" t="str"/>
      <x:c r="G12" s="25" t="str"/>
      <x:c r="H12" s="18" t="str">
        <x:v>A iniciar</x:v>
      </x:c>
    </x:row>
    <x:row r="13" ht="32" customHeight="1">
      <x:c r="A13" s="18" t="str">
        <x:v>N-07</x:v>
      </x:c>
      <x:c r="B13" s="25" t="str"/>
      <x:c r="C13" s="25" t="str"/>
      <x:c r="D13" s="25" t="str"/>
      <x:c r="E13" s="25" t="str"/>
      <x:c r="F13" s="25" t="str"/>
      <x:c r="G13" s="25" t="str"/>
      <x:c r="H13" s="18" t="str">
        <x:v>A iniciar</x:v>
      </x:c>
    </x:row>
    <x:row r="14" ht="32" customHeight="1">
      <x:c r="A14" s="18" t="str">
        <x:v>N-08</x:v>
      </x:c>
      <x:c r="B14" s="25" t="str"/>
      <x:c r="C14" s="25" t="str"/>
      <x:c r="D14" s="25" t="str"/>
      <x:c r="E14" s="25" t="str"/>
      <x:c r="F14" s="25" t="str"/>
      <x:c r="G14" s="25" t="str"/>
      <x:c r="H14" s="18" t="str">
        <x:v>A iniciar</x:v>
      </x:c>
    </x:row>
    <x:row r="15" ht="32" customHeight="1">
      <x:c r="A15" s="18" t="str">
        <x:v>N-09</x:v>
      </x:c>
      <x:c r="B15" s="25" t="str"/>
      <x:c r="C15" s="25" t="str"/>
      <x:c r="D15" s="25" t="str"/>
      <x:c r="E15" s="25" t="str"/>
      <x:c r="F15" s="25" t="str"/>
      <x:c r="G15" s="25" t="str"/>
      <x:c r="H15" s="18" t="str">
        <x:v>A iniciar</x:v>
      </x:c>
    </x:row>
    <x:row r="16" ht="32" customHeight="1">
      <x:c r="A16" s="18" t="str">
        <x:v>N-10</x:v>
      </x:c>
      <x:c r="B16" s="25" t="str"/>
      <x:c r="C16" s="25" t="str"/>
      <x:c r="D16" s="25" t="str"/>
      <x:c r="E16" s="25" t="str"/>
      <x:c r="F16" s="25" t="str"/>
      <x:c r="G16" s="25" t="str"/>
      <x:c r="H16" s="18" t="str">
        <x:v>A iniciar</x:v>
      </x:c>
    </x:row>
  </x:sheetData>
  <x:mergeCells>
    <x:mergeCell ref="A2:H2"/>
    <x:mergeCell ref="A4:H4"/>
  </x:mergeCells>
  <x:dataValidations count="2">
    <x:dataValidation type="list" sqref="F7:F16">
      <x:formula1>"Declarada,Latente,Cultural"</x:formula1>
    </x:dataValidation>
    <x:dataValidation type="list" sqref="H7:H16">
      <x:formula1>"A iniciar,Validada,Revisar"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89B3C"/>
  </x:sheetPr>
  <x:sheetViews>
    <x:sheetView showGridLines="0" workbookViewId="0"/>
  </x:sheetViews>
  <x:sheetFormatPr defaultRowHeight="15"/>
  <x:cols>
    <x:col min="1" max="1" width="9" hidden="0" customWidth="1"/>
    <x:col min="2" max="2" width="20" hidden="0" customWidth="1"/>
    <x:col min="3" max="3" width="36" hidden="0" customWidth="1"/>
    <x:col min="4" max="4" width="24" hidden="0" customWidth="1"/>
    <x:col min="5" max="5" width="40" hidden="0" customWidth="1"/>
    <x:col min="6" max="6" width="14" hidden="0" customWidth="1"/>
    <x:col min="7" max="7" width="14" hidden="0" customWidth="1"/>
    <x:col min="8" max="8" width="18" hidden="0" customWidth="1"/>
    <x:col min="9" max="9" width="34" hidden="0" customWidth="1"/>
  </x:cols>
  <x:sheetData>
    <x:row r="2" ht="30" customHeight="1">
      <x:c r="A2" s="2" t="str">
        <x:v>Requisitos dos clientes e do produto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3"/>
      <x:c r="B3" s="3"/>
      <x:c r="C3" s="3"/>
      <x:c r="D3" s="3"/>
      <x:c r="E3" s="3"/>
      <x:c r="F3" s="3"/>
      <x:c r="G3" s="3"/>
      <x:c r="H3" s="3"/>
      <x:c r="I3" s="3"/>
    </x:row>
    <x:row r="4" ht="34" customHeight="1">
      <x:c r="A4" s="6" t="str">
        <x:v>A transformação deve manter rastreabilidade: necessidade → requisito do cliente → requisito mensurável do produto.</x:v>
      </x:c>
      <x:c r="B4" s="6"/>
      <x:c r="C4" s="6"/>
      <x:c r="D4" s="6"/>
      <x:c r="E4" s="6"/>
      <x:c r="F4" s="6"/>
      <x:c r="G4" s="6"/>
      <x:c r="H4" s="6"/>
      <x:c r="I4" s="6"/>
    </x:row>
    <x:row r="6" ht="34" customHeight="1">
      <x:c r="A6" s="22" t="str">
        <x:v>ID</x:v>
      </x:c>
      <x:c r="B6" s="22" t="str">
        <x:v>Necessidade de origem</x:v>
      </x:c>
      <x:c r="C6" s="22" t="str">
        <x:v>Requisito do cliente</x:v>
      </x:c>
      <x:c r="D6" s="22" t="str">
        <x:v>Atributo</x:v>
      </x:c>
      <x:c r="E6" s="22" t="str">
        <x:v>Requisito do produto</x:v>
      </x:c>
      <x:c r="F6" s="22" t="str">
        <x:v>Unidade</x:v>
      </x:c>
      <x:c r="G6" s="22" t="str">
        <x:v>Direção</x:v>
      </x:c>
      <x:c r="H6" s="22" t="str">
        <x:v>Meta</x:v>
      </x:c>
      <x:c r="I6" s="22" t="str">
        <x:v>Método de verificação</x:v>
      </x:c>
    </x:row>
    <x:row r="7" ht="34" customHeight="1">
      <x:c r="A7" s="18" t="str">
        <x:v>R-01</x:v>
      </x:c>
      <x:c r="B7" s="25" t="str"/>
      <x:c r="C7" s="25" t="str"/>
      <x:c r="D7" s="25" t="str"/>
      <x:c r="E7" s="25" t="str"/>
      <x:c r="F7" s="25" t="str"/>
      <x:c r="G7" s="25" t="str"/>
      <x:c r="H7" s="25" t="str"/>
      <x:c r="I7" s="25" t="str"/>
    </x:row>
    <x:row r="8" ht="34" customHeight="1">
      <x:c r="A8" s="18" t="str">
        <x:v>R-02</x:v>
      </x:c>
      <x:c r="B8" s="25" t="str"/>
      <x:c r="C8" s="25" t="str"/>
      <x:c r="D8" s="25" t="str"/>
      <x:c r="E8" s="25" t="str"/>
      <x:c r="F8" s="25" t="str"/>
      <x:c r="G8" s="25" t="str"/>
      <x:c r="H8" s="25" t="str"/>
      <x:c r="I8" s="25" t="str"/>
    </x:row>
    <x:row r="9" ht="34" customHeight="1">
      <x:c r="A9" s="18" t="str">
        <x:v>R-03</x:v>
      </x:c>
      <x:c r="B9" s="25" t="str"/>
      <x:c r="C9" s="25" t="str"/>
      <x:c r="D9" s="25" t="str"/>
      <x:c r="E9" s="25" t="str"/>
      <x:c r="F9" s="25" t="str"/>
      <x:c r="G9" s="25" t="str"/>
      <x:c r="H9" s="25" t="str"/>
      <x:c r="I9" s="25" t="str"/>
    </x:row>
    <x:row r="10" ht="34" customHeight="1">
      <x:c r="A10" s="18" t="str">
        <x:v>R-04</x:v>
      </x:c>
      <x:c r="B10" s="25" t="str"/>
      <x:c r="C10" s="25" t="str"/>
      <x:c r="D10" s="25" t="str"/>
      <x:c r="E10" s="25" t="str"/>
      <x:c r="F10" s="25" t="str"/>
      <x:c r="G10" s="25" t="str"/>
      <x:c r="H10" s="25" t="str"/>
      <x:c r="I10" s="25" t="str"/>
    </x:row>
    <x:row r="11" ht="34" customHeight="1">
      <x:c r="A11" s="18" t="str">
        <x:v>R-05</x:v>
      </x:c>
      <x:c r="B11" s="25" t="str"/>
      <x:c r="C11" s="25" t="str"/>
      <x:c r="D11" s="25" t="str"/>
      <x:c r="E11" s="25" t="str"/>
      <x:c r="F11" s="25" t="str"/>
      <x:c r="G11" s="25" t="str"/>
      <x:c r="H11" s="25" t="str"/>
      <x:c r="I11" s="25" t="str"/>
    </x:row>
    <x:row r="12" ht="34" customHeight="1">
      <x:c r="A12" s="18" t="str">
        <x:v>R-06</x:v>
      </x:c>
      <x:c r="B12" s="25" t="str"/>
      <x:c r="C12" s="25" t="str"/>
      <x:c r="D12" s="25" t="str"/>
      <x:c r="E12" s="25" t="str"/>
      <x:c r="F12" s="25" t="str"/>
      <x:c r="G12" s="25" t="str"/>
      <x:c r="H12" s="25" t="str"/>
      <x:c r="I12" s="25" t="str"/>
    </x:row>
    <x:row r="13" ht="34" customHeight="1">
      <x:c r="A13" s="18" t="str">
        <x:v>R-07</x:v>
      </x:c>
      <x:c r="B13" s="25" t="str"/>
      <x:c r="C13" s="25" t="str"/>
      <x:c r="D13" s="25" t="str"/>
      <x:c r="E13" s="25" t="str"/>
      <x:c r="F13" s="25" t="str"/>
      <x:c r="G13" s="25" t="str"/>
      <x:c r="H13" s="25" t="str"/>
      <x:c r="I13" s="25" t="str"/>
    </x:row>
    <x:row r="14" ht="34" customHeight="1">
      <x:c r="A14" s="18" t="str">
        <x:v>R-08</x:v>
      </x:c>
      <x:c r="B14" s="25" t="str"/>
      <x:c r="C14" s="25" t="str"/>
      <x:c r="D14" s="25" t="str"/>
      <x:c r="E14" s="25" t="str"/>
      <x:c r="F14" s="25" t="str"/>
      <x:c r="G14" s="25" t="str"/>
      <x:c r="H14" s="25" t="str"/>
      <x:c r="I14" s="25" t="str"/>
    </x:row>
    <x:row r="15" ht="34" customHeight="1">
      <x:c r="A15" s="18" t="str">
        <x:v>R-09</x:v>
      </x:c>
      <x:c r="B15" s="25" t="str"/>
      <x:c r="C15" s="25" t="str"/>
      <x:c r="D15" s="25" t="str"/>
      <x:c r="E15" s="25" t="str"/>
      <x:c r="F15" s="25" t="str"/>
      <x:c r="G15" s="25" t="str"/>
      <x:c r="H15" s="25" t="str"/>
      <x:c r="I15" s="25" t="str"/>
    </x:row>
    <x:row r="16" ht="34" customHeight="1">
      <x:c r="A16" s="18" t="str">
        <x:v>R-10</x:v>
      </x:c>
      <x:c r="B16" s="25" t="str"/>
      <x:c r="C16" s="25" t="str"/>
      <x:c r="D16" s="25" t="str"/>
      <x:c r="E16" s="25" t="str"/>
      <x:c r="F16" s="25" t="str"/>
      <x:c r="G16" s="25" t="str"/>
      <x:c r="H16" s="25" t="str"/>
      <x:c r="I16" s="25" t="str"/>
    </x:row>
  </x:sheetData>
  <x:mergeCells>
    <x:mergeCell ref="A2:I2"/>
    <x:mergeCell ref="A4:I4"/>
  </x:mergeCells>
  <x:dataValidations count="2">
    <x:dataValidation type="list" sqref="D7:D16">
      <x:formula1>"Desempenho funcional,Fatores humanos,Propriedades e espaço,Confiabilidade,Ciclo de vida,Recursos e manufatura"</x:formula1>
    </x:dataValidation>
    <x:dataValidation type="list" sqref="G7:G16">
      <x:formula1>"Maximizar,Minimizar,Alvo,Faixa"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89B3C"/>
  </x:sheetPr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7" hidden="0" customWidth="1"/>
    <x:col min="4" max="4" width="14" hidden="0" customWidth="1"/>
    <x:col min="5" max="5" width="22" hidden="0" customWidth="1"/>
    <x:col min="6" max="6" width="24" hidden="0" customWidth="1"/>
    <x:col min="7" max="7" width="42" hidden="0" customWidth="1"/>
    <x:col min="8" max="8" width="14" hidden="0" customWidth="1"/>
  </x:cols>
  <x:sheetData>
    <x:row r="2" ht="30" customHeight="1">
      <x:c r="A2" s="2" t="str">
        <x:v>Priorização dos requisitos</x:v>
      </x:c>
      <x:c r="B2" s="2"/>
      <x:c r="C2" s="2"/>
      <x:c r="D2" s="2"/>
      <x:c r="E2" s="2"/>
      <x:c r="F2" s="2"/>
      <x:c r="G2" s="2"/>
      <x:c r="H2" s="2"/>
    </x:row>
    <x:row r="3">
      <x:c r="A3" s="3"/>
      <x:c r="B3" s="3"/>
      <x:c r="C3" s="3"/>
      <x:c r="D3" s="3"/>
      <x:c r="E3" s="3"/>
      <x:c r="F3" s="3"/>
      <x:c r="G3" s="3"/>
      <x:c r="H3" s="3"/>
    </x:row>
    <x:row r="4" ht="34" customHeight="1">
      <x:c r="A4" s="6" t="str">
        <x:v>Combinar classificação de Kano, comparação pareada de Mudge, Pareto e benchmarking. Não preencher pesos sem pesquisa ou decisão registrada.</x:v>
      </x:c>
      <x:c r="B4" s="6"/>
      <x:c r="C4" s="6"/>
      <x:c r="D4" s="6"/>
      <x:c r="E4" s="6"/>
      <x:c r="F4" s="6"/>
      <x:c r="G4" s="6"/>
      <x:c r="H4" s="6"/>
    </x:row>
    <x:row r="6" ht="32" customHeight="1">
      <x:c r="A6" s="22" t="str">
        <x:v>Requisito</x:v>
      </x:c>
      <x:c r="B6" s="22" t="str">
        <x:v>Kano</x:v>
      </x:c>
      <x:c r="C6" s="22" t="str">
        <x:v>Mudge - pontos</x:v>
      </x:c>
      <x:c r="D6" s="22" t="str">
        <x:v>Mudge - %</x:v>
      </x:c>
      <x:c r="E6" s="22" t="str">
        <x:v>Importância consolidada</x:v>
      </x:c>
      <x:c r="F6" s="22" t="str">
        <x:v>Benchmark</x:v>
      </x:c>
      <x:c r="G6" s="22" t="str">
        <x:v>Justificativa</x:v>
      </x:c>
      <x:c r="H6" s="22" t="str">
        <x:v>Evidência</x:v>
      </x:c>
    </x:row>
    <x:row r="7" ht="32" customHeight="1">
      <x:c r="A7" s="25" t="str"/>
      <x:c r="B7" s="25" t="str"/>
      <x:c r="C7" s="25" t="str"/>
      <x:c r="D7" s="26" t="str"/>
      <x:c r="E7" s="25" t="str"/>
      <x:c r="F7" s="25" t="str"/>
      <x:c r="G7" s="25" t="str"/>
      <x:c r="H7" s="25" t="str"/>
    </x:row>
    <x:row r="8" ht="32" customHeight="1">
      <x:c r="A8" s="25" t="str"/>
      <x:c r="B8" s="25" t="str"/>
      <x:c r="C8" s="25" t="str"/>
      <x:c r="D8" s="26" t="str"/>
      <x:c r="E8" s="25" t="str"/>
      <x:c r="F8" s="25" t="str"/>
      <x:c r="G8" s="25" t="str"/>
      <x:c r="H8" s="25" t="str"/>
    </x:row>
    <x:row r="9" ht="32" customHeight="1">
      <x:c r="A9" s="25" t="str"/>
      <x:c r="B9" s="25" t="str"/>
      <x:c r="C9" s="25" t="str"/>
      <x:c r="D9" s="26" t="str"/>
      <x:c r="E9" s="25" t="str"/>
      <x:c r="F9" s="25" t="str"/>
      <x:c r="G9" s="25" t="str"/>
      <x:c r="H9" s="25" t="str"/>
    </x:row>
    <x:row r="10" ht="32" customHeight="1">
      <x:c r="A10" s="25" t="str"/>
      <x:c r="B10" s="25" t="str"/>
      <x:c r="C10" s="25" t="str"/>
      <x:c r="D10" s="26" t="str"/>
      <x:c r="E10" s="25" t="str"/>
      <x:c r="F10" s="25" t="str"/>
      <x:c r="G10" s="25" t="str"/>
      <x:c r="H10" s="25" t="str"/>
    </x:row>
    <x:row r="11" ht="32" customHeight="1">
      <x:c r="A11" s="25" t="str"/>
      <x:c r="B11" s="25" t="str"/>
      <x:c r="C11" s="25" t="str"/>
      <x:c r="D11" s="26" t="str"/>
      <x:c r="E11" s="25" t="str"/>
      <x:c r="F11" s="25" t="str"/>
      <x:c r="G11" s="25" t="str"/>
      <x:c r="H11" s="25" t="str"/>
    </x:row>
    <x:row r="12" ht="32" customHeight="1">
      <x:c r="A12" s="25" t="str"/>
      <x:c r="B12" s="25" t="str"/>
      <x:c r="C12" s="25" t="str"/>
      <x:c r="D12" s="26" t="str"/>
      <x:c r="E12" s="25" t="str"/>
      <x:c r="F12" s="25" t="str"/>
      <x:c r="G12" s="25" t="str"/>
      <x:c r="H12" s="25" t="str"/>
    </x:row>
    <x:row r="13" ht="32" customHeight="1">
      <x:c r="A13" s="25" t="str"/>
      <x:c r="B13" s="25" t="str"/>
      <x:c r="C13" s="25" t="str"/>
      <x:c r="D13" s="26" t="str"/>
      <x:c r="E13" s="25" t="str"/>
      <x:c r="F13" s="25" t="str"/>
      <x:c r="G13" s="25" t="str"/>
      <x:c r="H13" s="25" t="str"/>
    </x:row>
    <x:row r="14" ht="32" customHeight="1">
      <x:c r="A14" s="25" t="str"/>
      <x:c r="B14" s="25" t="str"/>
      <x:c r="C14" s="25" t="str"/>
      <x:c r="D14" s="26" t="str"/>
      <x:c r="E14" s="25" t="str"/>
      <x:c r="F14" s="25" t="str"/>
      <x:c r="G14" s="25" t="str"/>
      <x:c r="H14" s="25" t="str"/>
    </x:row>
    <x:row r="15" ht="32" customHeight="1">
      <x:c r="A15" s="25" t="str"/>
      <x:c r="B15" s="25" t="str"/>
      <x:c r="C15" s="25" t="str"/>
      <x:c r="D15" s="26" t="str"/>
      <x:c r="E15" s="25" t="str"/>
      <x:c r="F15" s="25" t="str"/>
      <x:c r="G15" s="25" t="str"/>
      <x:c r="H15" s="25" t="str"/>
    </x:row>
    <x:row r="16" ht="32" customHeight="1">
      <x:c r="A16" s="25" t="str"/>
      <x:c r="B16" s="25" t="str"/>
      <x:c r="C16" s="25" t="str"/>
      <x:c r="D16" s="26" t="str"/>
      <x:c r="E16" s="25" t="str"/>
      <x:c r="F16" s="25" t="str"/>
      <x:c r="G16" s="25" t="str"/>
      <x:c r="H16" s="25" t="str"/>
    </x:row>
  </x:sheetData>
  <x:mergeCells>
    <x:mergeCell ref="A2:H2"/>
    <x:mergeCell ref="A4:H4"/>
  </x:mergeCells>
  <x:dataValidations count="1">
    <x:dataValidation type="list" sqref="B7:B16">
      <x:formula1>"Básico,Desempenho,Atrativo,Indiferente,Reverso,Questionável"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89B3C"/>
  </x:sheetPr>
  <x:sheetViews>
    <x:sheetView showGridLines="0" workbookViewId="0"/>
  </x:sheetViews>
  <x:sheetFormatPr defaultRowHeight="15"/>
  <x:cols>
    <x:col min="1" max="1" width="38" hidden="0" customWidth="1"/>
    <x:col min="2" max="2" width="1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24" hidden="0" customWidth="1"/>
    <x:col min="8" max="8" width="19" hidden="0" customWidth="1"/>
    <x:col min="9" max="9" width="34" hidden="0" customWidth="1"/>
  </x:cols>
  <x:sheetData>
    <x:row r="2" ht="30" customHeight="1">
      <x:c r="A2" s="2" t="str">
        <x:v>QFD e especificações-meta</x:v>
      </x:c>
      <x:c r="B2" s="2"/>
      <x:c r="C2" s="2"/>
      <x:c r="D2" s="2"/>
      <x:c r="E2" s="2"/>
      <x:c r="F2" s="2"/>
      <x:c r="G2" s="2"/>
      <x:c r="H2" s="2"/>
      <x:c r="I2" s="2"/>
    </x:row>
    <x:row r="3">
      <x:c r="A3" s="3"/>
      <x:c r="B3" s="3"/>
      <x:c r="C3" s="3"/>
      <x:c r="D3" s="3"/>
      <x:c r="E3" s="3"/>
      <x:c r="F3" s="3"/>
      <x:c r="G3" s="3"/>
      <x:c r="H3" s="3"/>
      <x:c r="I3" s="3"/>
    </x:row>
    <x:row r="4" ht="34" customHeight="1">
      <x:c r="A4" s="6" t="str">
        <x:v>Estrutura compacta para a Casa da Qualidade. A correlação técnica, o benchmarking e as metas serão inseridos após validação dos requisitos.</x:v>
      </x:c>
      <x:c r="B4" s="6"/>
      <x:c r="C4" s="6"/>
      <x:c r="D4" s="6"/>
      <x:c r="E4" s="6"/>
      <x:c r="F4" s="6"/>
      <x:c r="G4" s="6"/>
      <x:c r="H4" s="6"/>
      <x:c r="I4" s="6"/>
    </x:row>
    <x:row r="6" ht="30" customHeight="1">
      <x:c r="A6" s="22" t="str">
        <x:v>Requisito do cliente</x:v>
      </x:c>
      <x:c r="B6" s="22" t="str">
        <x:v>Importância</x:v>
      </x:c>
      <x:c r="C6" s="22" t="str">
        <x:v>Req. técnico 1</x:v>
      </x:c>
      <x:c r="D6" s="22" t="str">
        <x:v>Req. técnico 2</x:v>
      </x:c>
      <x:c r="E6" s="22" t="str">
        <x:v>Req. técnico 3</x:v>
      </x:c>
      <x:c r="F6" s="22" t="str">
        <x:v>Req. técnico 4</x:v>
      </x:c>
      <x:c r="G6" s="22" t="str">
        <x:v>Benchmark</x:v>
      </x:c>
      <x:c r="H6" s="22" t="str">
        <x:v>Prioridade técnica</x:v>
      </x:c>
      <x:c r="I6" s="22" t="str">
        <x:v>Observação</x:v>
      </x:c>
    </x:row>
    <x:row r="7" ht="30" customHeight="1">
      <x:c r="A7" s="25" t="str"/>
      <x:c r="B7" s="25" t="str"/>
      <x:c r="C7" s="25" t="str"/>
      <x:c r="D7" s="25" t="str"/>
      <x:c r="E7" s="25" t="str"/>
      <x:c r="F7" s="25" t="str"/>
      <x:c r="G7" s="25" t="str"/>
      <x:c r="H7" s="25" t="str"/>
      <x:c r="I7" s="25" t="str"/>
    </x:row>
    <x:row r="8" ht="30" customHeight="1">
      <x:c r="A8" s="25" t="str"/>
      <x:c r="B8" s="25" t="str"/>
      <x:c r="C8" s="25" t="str"/>
      <x:c r="D8" s="25" t="str"/>
      <x:c r="E8" s="25" t="str"/>
      <x:c r="F8" s="25" t="str"/>
      <x:c r="G8" s="25" t="str"/>
      <x:c r="H8" s="25" t="str"/>
      <x:c r="I8" s="25" t="str"/>
    </x:row>
    <x:row r="9" ht="30" customHeight="1">
      <x:c r="A9" s="25" t="str"/>
      <x:c r="B9" s="25" t="str"/>
      <x:c r="C9" s="25" t="str"/>
      <x:c r="D9" s="25" t="str"/>
      <x:c r="E9" s="25" t="str"/>
      <x:c r="F9" s="25" t="str"/>
      <x:c r="G9" s="25" t="str"/>
      <x:c r="H9" s="25" t="str"/>
      <x:c r="I9" s="25" t="str"/>
    </x:row>
    <x:row r="10" ht="30" customHeight="1">
      <x:c r="A10" s="25" t="str"/>
      <x:c r="B10" s="25" t="str"/>
      <x:c r="C10" s="25" t="str"/>
      <x:c r="D10" s="25" t="str"/>
      <x:c r="E10" s="25" t="str"/>
      <x:c r="F10" s="25" t="str"/>
      <x:c r="G10" s="25" t="str"/>
      <x:c r="H10" s="25" t="str"/>
      <x:c r="I10" s="25" t="str"/>
    </x:row>
    <x:row r="11" ht="30" customHeight="1">
      <x:c r="A11" s="25" t="str"/>
      <x:c r="B11" s="25" t="str"/>
      <x:c r="C11" s="25" t="str"/>
      <x:c r="D11" s="25" t="str"/>
      <x:c r="E11" s="25" t="str"/>
      <x:c r="F11" s="25" t="str"/>
      <x:c r="G11" s="25" t="str"/>
      <x:c r="H11" s="25" t="str"/>
      <x:c r="I11" s="25" t="str"/>
    </x:row>
    <x:row r="12" ht="30" customHeight="1">
      <x:c r="A12" s="25" t="str"/>
      <x:c r="B12" s="25" t="str"/>
      <x:c r="C12" s="25" t="str"/>
      <x:c r="D12" s="25" t="str"/>
      <x:c r="E12" s="25" t="str"/>
      <x:c r="F12" s="25" t="str"/>
      <x:c r="G12" s="25" t="str"/>
      <x:c r="H12" s="25" t="str"/>
      <x:c r="I12" s="25" t="str"/>
    </x:row>
    <x:row r="13" ht="30" customHeight="1">
      <x:c r="A13" s="25" t="str"/>
      <x:c r="B13" s="25" t="str"/>
      <x:c r="C13" s="25" t="str"/>
      <x:c r="D13" s="25" t="str"/>
      <x:c r="E13" s="25" t="str"/>
      <x:c r="F13" s="25" t="str"/>
      <x:c r="G13" s="25" t="str"/>
      <x:c r="H13" s="25" t="str"/>
      <x:c r="I13" s="25" t="str"/>
    </x:row>
    <x:row r="14" ht="30" customHeight="1">
      <x:c r="A14" s="25" t="str"/>
      <x:c r="B14" s="25" t="str"/>
      <x:c r="C14" s="25" t="str"/>
      <x:c r="D14" s="25" t="str"/>
      <x:c r="E14" s="25" t="str"/>
      <x:c r="F14" s="25" t="str"/>
      <x:c r="G14" s="25" t="str"/>
      <x:c r="H14" s="25" t="str"/>
      <x:c r="I14" s="25" t="str"/>
    </x:row>
    <x:row r="15" ht="30" customHeight="1">
      <x:c r="A15" s="25" t="str"/>
      <x:c r="B15" s="25" t="str"/>
      <x:c r="C15" s="25" t="str"/>
      <x:c r="D15" s="25" t="str"/>
      <x:c r="E15" s="25" t="str"/>
      <x:c r="F15" s="25" t="str"/>
      <x:c r="G15" s="25" t="str"/>
      <x:c r="H15" s="25" t="str"/>
      <x:c r="I15" s="25" t="str"/>
    </x:row>
    <x:row r="16" ht="30" customHeight="1">
      <x:c r="A16" s="25" t="str"/>
      <x:c r="B16" s="25" t="str"/>
      <x:c r="C16" s="25" t="str"/>
      <x:c r="D16" s="25" t="str"/>
      <x:c r="E16" s="25" t="str"/>
      <x:c r="F16" s="25" t="str"/>
      <x:c r="G16" s="25" t="str"/>
      <x:c r="H16" s="25" t="str"/>
      <x:c r="I16" s="25" t="str"/>
    </x:row>
    <x:row r="17" ht="30" customHeight="1">
      <x:c r="A17" s="18" t="str">
        <x:v>Legenda</x:v>
      </x:c>
      <x:c r="B17" s="18" t="str">
        <x:v>1 fraca</x:v>
      </x:c>
      <x:c r="C17" s="18" t="str">
        <x:v>3 média</x:v>
      </x:c>
      <x:c r="D17" s="18" t="str">
        <x:v>5 forte</x:v>
      </x:c>
      <x:c r="E17" s="18" t="str"/>
      <x:c r="F17" s="18" t="str"/>
      <x:c r="G17" s="18" t="str"/>
      <x:c r="H17" s="18" t="str"/>
      <x:c r="I17" s="18" t="str"/>
    </x:row>
  </x:sheetData>
  <x:mergeCells>
    <x:mergeCell ref="A2:I2"/>
    <x:mergeCell ref="A4:I4"/>
  </x:mergeCells>
  <x:dataValidations count="2">
    <x:dataValidation type="whole" operator="between" sqref="B7:B16">
      <x:formula1>1</x:formula1>
      <x:formula2>5</x:formula2>
    </x:dataValidation>
    <x:dataValidation type="list" sqref="C7:F16">
      <x:formula1>"0,1,3,5"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89B3C"/>
  </x:sheetPr>
  <x:sheetViews>
    <x:sheetView showGridLines="0" workbookViewId="0"/>
  </x:sheetViews>
  <x:sheetFormatPr defaultRowHeight="15"/>
  <x:cols>
    <x:col min="1" max="1" width="28" hidden="0" customWidth="1"/>
    <x:col min="2" max="2" width="30" hidden="0" customWidth="1"/>
    <x:col min="3" max="3" width="30" hidden="0" customWidth="1"/>
    <x:col min="4" max="4" width="30" hidden="0" customWidth="1"/>
    <x:col min="5" max="5" width="30" hidden="0" customWidth="1"/>
    <x:col min="6" max="6" width="18" hidden="0" customWidth="1"/>
    <x:col min="7" max="7" width="18" hidden="0" customWidth="1"/>
    <x:col min="8" max="8" width="24" hidden="0" customWidth="1"/>
  </x:cols>
  <x:sheetData>
    <x:row r="2" ht="30" customHeight="1">
      <x:c r="A2" s="2" t="str">
        <x:v>Modelagem funcional e princípios de solução</x:v>
      </x:c>
      <x:c r="B2" s="2"/>
      <x:c r="C2" s="2"/>
      <x:c r="D2" s="2"/>
      <x:c r="E2" s="2"/>
      <x:c r="F2" s="2"/>
      <x:c r="G2" s="2"/>
      <x:c r="H2" s="2"/>
    </x:row>
    <x:row r="3">
      <x:c r="A3" s="3"/>
      <x:c r="B3" s="3"/>
      <x:c r="C3" s="3"/>
      <x:c r="D3" s="3"/>
      <x:c r="E3" s="3"/>
      <x:c r="F3" s="3"/>
      <x:c r="G3" s="3"/>
      <x:c r="H3" s="3"/>
    </x:row>
    <x:row r="4" ht="34" customHeight="1">
      <x:c r="A4" s="6" t="str">
        <x:v>Partir das especificações-meta, abstrair a forma, selecionar uma estrutura funcional e só então combinar princípios de solução.</x:v>
      </x:c>
      <x:c r="B4" s="6"/>
      <x:c r="C4" s="6"/>
      <x:c r="D4" s="6"/>
      <x:c r="E4" s="6"/>
      <x:c r="F4" s="6"/>
      <x:c r="G4" s="6"/>
      <x:c r="H4" s="6"/>
    </x:row>
    <x:row r="6" ht="23" customHeight="1">
      <x:c r="A6" s="14" t="str">
        <x:v>Estrutura funcional</x:v>
      </x:c>
      <x:c r="B6" s="14"/>
      <x:c r="C6" s="14"/>
      <x:c r="D6" s="14"/>
      <x:c r="E6" s="14"/>
      <x:c r="F6" s="14"/>
      <x:c r="G6" s="14"/>
      <x:c r="H6" s="14"/>
    </x:row>
    <x:row r="7" ht="32" customHeight="1">
      <x:c r="A7" s="22" t="str">
        <x:v>ID</x:v>
      </x:c>
      <x:c r="B7" s="22" t="str">
        <x:v>Função</x:v>
      </x:c>
      <x:c r="C7" s="22" t="str">
        <x:v>Entrada</x:v>
      </x:c>
      <x:c r="D7" s="22" t="str">
        <x:v>Saída</x:v>
      </x:c>
      <x:c r="E7" s="22" t="str">
        <x:v>Fluxo</x:v>
      </x:c>
      <x:c r="F7" s="22" t="str">
        <x:v>Restrição</x:v>
      </x:c>
      <x:c r="G7" s="22" t="str">
        <x:v>Estrutura candidata</x:v>
      </x:c>
      <x:c r="H7" s="22" t="str">
        <x:v>Fonte</x:v>
      </x:c>
    </x:row>
    <x:row r="8" ht="32" customHeight="1">
      <x:c r="A8" s="18" t="str">
        <x:v>F-01</x:v>
      </x:c>
      <x:c r="B8" s="25" t="str"/>
      <x:c r="C8" s="25" t="str"/>
      <x:c r="D8" s="25" t="str"/>
      <x:c r="E8" s="25" t="str"/>
      <x:c r="F8" s="25" t="str"/>
      <x:c r="G8" s="25" t="str"/>
      <x:c r="H8" s="25" t="str"/>
    </x:row>
    <x:row r="9" ht="32" customHeight="1">
      <x:c r="A9" s="18" t="str">
        <x:v>F-02</x:v>
      </x:c>
      <x:c r="B9" s="25" t="str"/>
      <x:c r="C9" s="25" t="str"/>
      <x:c r="D9" s="25" t="str"/>
      <x:c r="E9" s="25" t="str"/>
      <x:c r="F9" s="25" t="str"/>
      <x:c r="G9" s="25" t="str"/>
      <x:c r="H9" s="25" t="str"/>
    </x:row>
    <x:row r="10" ht="32" customHeight="1">
      <x:c r="A10" s="18" t="str">
        <x:v>F-03</x:v>
      </x:c>
      <x:c r="B10" s="25" t="str"/>
      <x:c r="C10" s="25" t="str"/>
      <x:c r="D10" s="25" t="str"/>
      <x:c r="E10" s="25" t="str"/>
      <x:c r="F10" s="25" t="str"/>
      <x:c r="G10" s="25" t="str"/>
      <x:c r="H10" s="25" t="str"/>
    </x:row>
    <x:row r="11" ht="32" customHeight="1">
      <x:c r="A11" s="18" t="str">
        <x:v>F-04</x:v>
      </x:c>
      <x:c r="B11" s="25" t="str"/>
      <x:c r="C11" s="25" t="str"/>
      <x:c r="D11" s="25" t="str"/>
      <x:c r="E11" s="25" t="str"/>
      <x:c r="F11" s="25" t="str"/>
      <x:c r="G11" s="25" t="str"/>
      <x:c r="H11" s="25" t="str"/>
    </x:row>
    <x:row r="12" ht="32" customHeight="1">
      <x:c r="A12" s="18" t="str">
        <x:v>F-05</x:v>
      </x:c>
      <x:c r="B12" s="25" t="str"/>
      <x:c r="C12" s="25" t="str"/>
      <x:c r="D12" s="25" t="str"/>
      <x:c r="E12" s="25" t="str"/>
      <x:c r="F12" s="25" t="str"/>
      <x:c r="G12" s="25" t="str"/>
      <x:c r="H12" s="25" t="str"/>
    </x:row>
    <x:row r="13" ht="32" customHeight="1">
      <x:c r="A13" s="18" t="str">
        <x:v>F-06</x:v>
      </x:c>
      <x:c r="B13" s="25" t="str"/>
      <x:c r="C13" s="25" t="str"/>
      <x:c r="D13" s="25" t="str"/>
      <x:c r="E13" s="25" t="str"/>
      <x:c r="F13" s="25" t="str"/>
      <x:c r="G13" s="25" t="str"/>
      <x:c r="H13" s="25" t="str"/>
    </x:row>
    <x:row r="14" ht="32" customHeight="1">
      <x:c r="A14" s="18" t="str">
        <x:v>F-07</x:v>
      </x:c>
      <x:c r="B14" s="25" t="str"/>
      <x:c r="C14" s="25" t="str"/>
      <x:c r="D14" s="25" t="str"/>
      <x:c r="E14" s="25" t="str"/>
      <x:c r="F14" s="25" t="str"/>
      <x:c r="G14" s="25" t="str"/>
      <x:c r="H14" s="25" t="str"/>
    </x:row>
    <x:row r="15" ht="32" customHeight="1"/>
    <x:row r="16" ht="32" customHeight="1">
      <x:c r="A16" s="14" t="str">
        <x:v>Matriz morfológica</x:v>
      </x:c>
      <x:c r="B16" s="14"/>
      <x:c r="C16" s="14"/>
      <x:c r="D16" s="14"/>
      <x:c r="E16" s="14"/>
      <x:c r="F16" s="14"/>
      <x:c r="G16" s="14"/>
      <x:c r="H16" s="14"/>
    </x:row>
    <x:row r="17" ht="32" customHeight="1">
      <x:c r="A17" s="22" t="str">
        <x:v>Função elementar</x:v>
      </x:c>
      <x:c r="B17" s="22" t="str">
        <x:v>Princípio 1</x:v>
      </x:c>
      <x:c r="C17" s="22" t="str">
        <x:v>Princípio 2</x:v>
      </x:c>
      <x:c r="D17" s="22" t="str">
        <x:v>Princípio 3</x:v>
      </x:c>
      <x:c r="E17" s="22" t="str">
        <x:v>Princípio 4</x:v>
      </x:c>
      <x:c r="F17" s="22" t="str">
        <x:v>Combinação A</x:v>
      </x:c>
      <x:c r="G17" s="22" t="str">
        <x:v>Combinação B</x:v>
      </x:c>
      <x:c r="H17" s="22" t="str">
        <x:v>Compatibilidade</x:v>
      </x:c>
    </x:row>
    <x:row r="18" ht="32" customHeight="1">
      <x:c r="A18" s="18" t="str"/>
      <x:c r="B18" s="18" t="str"/>
      <x:c r="C18" s="18" t="str"/>
      <x:c r="D18" s="18" t="str"/>
      <x:c r="E18" s="18" t="str"/>
      <x:c r="F18" s="18" t="str"/>
      <x:c r="G18" s="18" t="str"/>
      <x:c r="H18" s="18" t="str"/>
    </x:row>
    <x:row r="19" ht="32" customHeight="1">
      <x:c r="A19" s="18" t="str"/>
      <x:c r="B19" s="18" t="str"/>
      <x:c r="C19" s="18" t="str"/>
      <x:c r="D19" s="18" t="str"/>
      <x:c r="E19" s="18" t="str"/>
      <x:c r="F19" s="18" t="str"/>
      <x:c r="G19" s="18" t="str"/>
      <x:c r="H19" s="18" t="str"/>
    </x:row>
    <x:row r="20" ht="32" customHeight="1">
      <x:c r="A20" s="18" t="str"/>
      <x:c r="B20" s="18" t="str"/>
      <x:c r="C20" s="18" t="str"/>
      <x:c r="D20" s="18" t="str"/>
      <x:c r="E20" s="18" t="str"/>
      <x:c r="F20" s="18" t="str"/>
      <x:c r="G20" s="18" t="str"/>
      <x:c r="H20" s="18" t="str"/>
    </x:row>
    <x:row r="21" ht="32" customHeight="1">
      <x:c r="A21" s="18" t="str"/>
      <x:c r="B21" s="18" t="str"/>
      <x:c r="C21" s="18" t="str"/>
      <x:c r="D21" s="18" t="str"/>
      <x:c r="E21" s="18" t="str"/>
      <x:c r="F21" s="18" t="str"/>
      <x:c r="G21" s="18" t="str"/>
      <x:c r="H21" s="18" t="str"/>
    </x:row>
    <x:row r="22" ht="32" customHeight="1">
      <x:c r="A22" s="18" t="str"/>
      <x:c r="B22" s="18" t="str"/>
      <x:c r="C22" s="18" t="str"/>
      <x:c r="D22" s="18" t="str"/>
      <x:c r="E22" s="18" t="str"/>
      <x:c r="F22" s="18" t="str"/>
      <x:c r="G22" s="18" t="str"/>
      <x:c r="H22" s="18" t="str"/>
    </x:row>
    <x:row r="23" ht="32" customHeight="1">
      <x:c r="A23" s="18" t="str"/>
      <x:c r="B23" s="18" t="str"/>
      <x:c r="C23" s="18" t="str"/>
      <x:c r="D23" s="18" t="str"/>
      <x:c r="E23" s="18" t="str"/>
      <x:c r="F23" s="18" t="str"/>
      <x:c r="G23" s="18" t="str"/>
      <x:c r="H23" s="18" t="str"/>
    </x:row>
    <x:row r="24" ht="32" customHeight="1">
      <x:c r="A24" s="18" t="str"/>
      <x:c r="B24" s="18" t="str"/>
      <x:c r="C24" s="18" t="str"/>
      <x:c r="D24" s="18" t="str"/>
      <x:c r="E24" s="18" t="str"/>
      <x:c r="F24" s="18" t="str"/>
      <x:c r="G24" s="18" t="str"/>
      <x:c r="H24" s="18" t="str"/>
    </x:row>
  </x:sheetData>
  <x:mergeCells>
    <x:mergeCell ref="A2:H2"/>
    <x:mergeCell ref="A4:H4"/>
    <x:mergeCell ref="A6:H6"/>
    <x:mergeCell ref="A16:H16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89B3C"/>
  </x:sheetPr>
  <x:sheetViews>
    <x:sheetView showGridLines="0" workbookViewId="0"/>
  </x:sheetViews>
  <x:sheetFormatPr defaultRowHeight="15"/>
  <x:cols>
    <x:col min="1" max="1" width="3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40" hidden="0" customWidth="1"/>
    <x:col min="8" max="8" width="24" hidden="0" customWidth="1"/>
  </x:cols>
  <x:sheetData>
    <x:row r="2" ht="30" customHeight="1">
      <x:c r="A2" s="2" t="str">
        <x:v>Seleção de concepções e arquitetura</x:v>
      </x:c>
      <x:c r="B2" s="2"/>
      <x:c r="C2" s="2"/>
      <x:c r="D2" s="2"/>
      <x:c r="E2" s="2"/>
      <x:c r="F2" s="2"/>
      <x:c r="G2" s="2"/>
      <x:c r="H2" s="2"/>
    </x:row>
    <x:row r="3">
      <x:c r="A3" s="3"/>
      <x:c r="B3" s="3"/>
      <x:c r="C3" s="3"/>
      <x:c r="D3" s="3"/>
      <x:c r="E3" s="3"/>
      <x:c r="F3" s="3"/>
      <x:c r="G3" s="3"/>
      <x:c r="H3" s="3"/>
    </x:row>
    <x:row r="4" ht="34" customHeight="1">
      <x:c r="A4" s="6" t="str">
        <x:v>Matrizes de Pugh e MIM devem usar critérios rastreáveis às especificações-meta e decisões justificadas.</x:v>
      </x:c>
      <x:c r="B4" s="6"/>
      <x:c r="C4" s="6"/>
      <x:c r="D4" s="6"/>
      <x:c r="E4" s="6"/>
      <x:c r="F4" s="6"/>
      <x:c r="G4" s="6"/>
      <x:c r="H4" s="6"/>
    </x:row>
    <x:row r="6" ht="23" customHeight="1">
      <x:c r="A6" s="14" t="str">
        <x:v>Matriz de Pugh</x:v>
      </x:c>
      <x:c r="B6" s="14"/>
      <x:c r="C6" s="14"/>
      <x:c r="D6" s="14"/>
      <x:c r="E6" s="14"/>
      <x:c r="F6" s="14"/>
      <x:c r="G6" s="14"/>
      <x:c r="H6" s="14"/>
    </x:row>
    <x:row r="7" ht="31" customHeight="1">
      <x:c r="A7" s="22" t="str">
        <x:v>Critério</x:v>
      </x:c>
      <x:c r="B7" s="22" t="str">
        <x:v>Peso</x:v>
      </x:c>
      <x:c r="C7" s="22" t="str">
        <x:v>Datum</x:v>
      </x:c>
      <x:c r="D7" s="22" t="str">
        <x:v>Concepção A</x:v>
      </x:c>
      <x:c r="E7" s="22" t="str">
        <x:v>Concepção B</x:v>
      </x:c>
      <x:c r="F7" s="22" t="str">
        <x:v>Concepção C</x:v>
      </x:c>
      <x:c r="G7" s="22" t="str">
        <x:v>Justificativa</x:v>
      </x:c>
      <x:c r="H7" s="22" t="str">
        <x:v>Evidência</x:v>
      </x:c>
    </x:row>
    <x:row r="8" ht="31" customHeight="1">
      <x:c r="A8" s="18" t="str"/>
      <x:c r="B8" s="25" t="str"/>
      <x:c r="C8" s="25" t="str"/>
      <x:c r="D8" s="25" t="str"/>
      <x:c r="E8" s="25" t="str"/>
      <x:c r="F8" s="25" t="str"/>
      <x:c r="G8" s="25" t="str"/>
      <x:c r="H8" s="25" t="str"/>
    </x:row>
    <x:row r="9" ht="31" customHeight="1">
      <x:c r="A9" s="18" t="str"/>
      <x:c r="B9" s="25" t="str"/>
      <x:c r="C9" s="25" t="str"/>
      <x:c r="D9" s="25" t="str"/>
      <x:c r="E9" s="25" t="str"/>
      <x:c r="F9" s="25" t="str"/>
      <x:c r="G9" s="25" t="str"/>
      <x:c r="H9" s="25" t="str"/>
    </x:row>
    <x:row r="10" ht="31" customHeight="1">
      <x:c r="A10" s="18" t="str"/>
      <x:c r="B10" s="25" t="str"/>
      <x:c r="C10" s="25" t="str"/>
      <x:c r="D10" s="25" t="str"/>
      <x:c r="E10" s="25" t="str"/>
      <x:c r="F10" s="25" t="str"/>
      <x:c r="G10" s="25" t="str"/>
      <x:c r="H10" s="25" t="str"/>
    </x:row>
    <x:row r="11" ht="31" customHeight="1">
      <x:c r="A11" s="18" t="str"/>
      <x:c r="B11" s="25" t="str"/>
      <x:c r="C11" s="25" t="str"/>
      <x:c r="D11" s="25" t="str"/>
      <x:c r="E11" s="25" t="str"/>
      <x:c r="F11" s="25" t="str"/>
      <x:c r="G11" s="25" t="str"/>
      <x:c r="H11" s="25" t="str"/>
    </x:row>
    <x:row r="12" ht="31" customHeight="1">
      <x:c r="A12" s="18" t="str"/>
      <x:c r="B12" s="25" t="str"/>
      <x:c r="C12" s="25" t="str"/>
      <x:c r="D12" s="25" t="str"/>
      <x:c r="E12" s="25" t="str"/>
      <x:c r="F12" s="25" t="str"/>
      <x:c r="G12" s="25" t="str"/>
      <x:c r="H12" s="25" t="str"/>
    </x:row>
    <x:row r="13" ht="31" customHeight="1">
      <x:c r="A13" s="18" t="str"/>
      <x:c r="B13" s="25" t="str"/>
      <x:c r="C13" s="25" t="str"/>
      <x:c r="D13" s="25" t="str"/>
      <x:c r="E13" s="25" t="str"/>
      <x:c r="F13" s="25" t="str"/>
      <x:c r="G13" s="25" t="str"/>
      <x:c r="H13" s="25" t="str"/>
    </x:row>
    <x:row r="14" ht="31" customHeight="1">
      <x:c r="A14" s="18" t="str"/>
      <x:c r="B14" s="25" t="str"/>
      <x:c r="C14" s="25" t="str"/>
      <x:c r="D14" s="25" t="str"/>
      <x:c r="E14" s="25" t="str"/>
      <x:c r="F14" s="25" t="str"/>
      <x:c r="G14" s="25" t="str"/>
      <x:c r="H14" s="25" t="str"/>
    </x:row>
    <x:row r="15" ht="31" customHeight="1">
      <x:c r="A15" s="18"/>
      <x:c r="B15" s="25"/>
      <x:c r="C15" s="25"/>
      <x:c r="D15" s="25"/>
      <x:c r="E15" s="25"/>
      <x:c r="F15" s="25"/>
      <x:c r="G15" s="25"/>
      <x:c r="H15" s="25"/>
    </x:row>
    <x:row r="16" ht="31" customHeight="1"/>
    <x:row r="17" ht="31" customHeight="1">
      <x:c r="A17" s="14" t="str">
        <x:v>Direcionadores de módulos</x:v>
      </x:c>
      <x:c r="B17" s="14"/>
      <x:c r="C17" s="14"/>
      <x:c r="D17" s="14"/>
      <x:c r="E17" s="14"/>
      <x:c r="F17" s="14"/>
      <x:c r="G17" s="14"/>
      <x:c r="H17" s="14"/>
    </x:row>
    <x:row r="18" ht="31" customHeight="1">
      <x:c r="A18" s="22" t="str">
        <x:v>Função/solução</x:v>
      </x:c>
      <x:c r="B18" s="22" t="str">
        <x:v>Carry-over</x:v>
      </x:c>
      <x:c r="C18" s="22" t="str">
        <x:v>Evolução tecnológica</x:v>
      </x:c>
      <x:c r="D18" s="22" t="str">
        <x:v>Variação</x:v>
      </x:c>
      <x:c r="E18" s="22" t="str">
        <x:v>Fabricação</x:v>
      </x:c>
      <x:c r="F18" s="22" t="str">
        <x:v>Teste separado</x:v>
      </x:c>
      <x:c r="G18" s="22" t="str">
        <x:v>Pós-venda/fim de vida</x:v>
      </x:c>
      <x:c r="H18" s="22" t="str">
        <x:v>Módulo proposto</x:v>
      </x:c>
    </x:row>
    <x:row r="19" ht="31" customHeight="1">
      <x:c r="A19" s="18" t="str"/>
      <x:c r="B19" s="18" t="str"/>
      <x:c r="C19" s="18" t="str"/>
      <x:c r="D19" s="18" t="str"/>
      <x:c r="E19" s="18" t="str"/>
      <x:c r="F19" s="18" t="str"/>
      <x:c r="G19" s="18" t="str"/>
      <x:c r="H19" s="18" t="str"/>
    </x:row>
    <x:row r="20" ht="31" customHeight="1">
      <x:c r="A20" s="18" t="str"/>
      <x:c r="B20" s="18" t="str"/>
      <x:c r="C20" s="18" t="str"/>
      <x:c r="D20" s="18" t="str"/>
      <x:c r="E20" s="18" t="str"/>
      <x:c r="F20" s="18" t="str"/>
      <x:c r="G20" s="18" t="str"/>
      <x:c r="H20" s="18" t="str"/>
    </x:row>
    <x:row r="21" ht="31" customHeight="1">
      <x:c r="A21" s="18" t="str"/>
      <x:c r="B21" s="18" t="str"/>
      <x:c r="C21" s="18" t="str"/>
      <x:c r="D21" s="18" t="str"/>
      <x:c r="E21" s="18" t="str"/>
      <x:c r="F21" s="18" t="str"/>
      <x:c r="G21" s="18" t="str"/>
      <x:c r="H21" s="18" t="str"/>
    </x:row>
    <x:row r="22" ht="31" customHeight="1">
      <x:c r="A22" s="18" t="str"/>
      <x:c r="B22" s="18" t="str"/>
      <x:c r="C22" s="18" t="str"/>
      <x:c r="D22" s="18" t="str"/>
      <x:c r="E22" s="18" t="str"/>
      <x:c r="F22" s="18" t="str"/>
      <x:c r="G22" s="18" t="str"/>
      <x:c r="H22" s="18" t="str"/>
    </x:row>
    <x:row r="23" ht="31" customHeight="1">
      <x:c r="A23" s="18" t="str"/>
      <x:c r="B23" s="18" t="str"/>
      <x:c r="C23" s="18" t="str"/>
      <x:c r="D23" s="18" t="str"/>
      <x:c r="E23" s="18" t="str"/>
      <x:c r="F23" s="18" t="str"/>
      <x:c r="G23" s="18" t="str"/>
      <x:c r="H23" s="18" t="str"/>
    </x:row>
    <x:row r="24" ht="31" customHeight="1">
      <x:c r="A24" s="18" t="str"/>
      <x:c r="B24" s="18" t="str"/>
      <x:c r="C24" s="18" t="str"/>
      <x:c r="D24" s="18" t="str"/>
      <x:c r="E24" s="18" t="str"/>
      <x:c r="F24" s="18" t="str"/>
      <x:c r="G24" s="18" t="str"/>
      <x:c r="H24" s="18" t="str"/>
    </x:row>
    <x:row r="25" ht="31" customHeight="1">
      <x:c r="A25" s="18" t="str"/>
      <x:c r="B25" s="18" t="str"/>
      <x:c r="C25" s="18" t="str"/>
      <x:c r="D25" s="18" t="str"/>
      <x:c r="E25" s="18" t="str"/>
      <x:c r="F25" s="18" t="str"/>
      <x:c r="G25" s="18" t="str"/>
      <x:c r="H25" s="18" t="str"/>
    </x:row>
  </x:sheetData>
  <x:mergeCells>
    <x:mergeCell ref="A2:H2"/>
    <x:mergeCell ref="A4:H4"/>
    <x:mergeCell ref="A6:H6"/>
    <x:mergeCell ref="A17:H17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89B3C"/>
  </x:sheetPr>
  <x:sheetViews>
    <x:sheetView showGridLines="0" workbookViewId="0"/>
  </x:sheetViews>
  <x:sheetFormatPr defaultRowHeight="15"/>
  <x:cols>
    <x:col min="1" max="1" width="25" hidden="0" customWidth="1"/>
    <x:col min="2" max="2" width="20" hidden="0" customWidth="1"/>
    <x:col min="3" max="3" width="20" hidden="0" customWidth="1"/>
    <x:col min="4" max="4" width="2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4" hidden="0" customWidth="1"/>
    <x:col min="10" max="10" width="34" hidden="0" customWidth="1"/>
  </x:cols>
  <x:sheetData>
    <x:row r="2" ht="30" customHeight="1">
      <x:c r="A2" s="2" t="str">
        <x:v>Análise de valor e riscos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</x:row>
    <x:row r="4" ht="34" customHeight="1">
      <x:c r="A4" s="6" t="str">
        <x:v>Consolidar valor por função e modos de falha somente depois da definição da concepção e da arquitetura.</x:v>
      </x:c>
      <x:c r="B4" s="6"/>
      <x:c r="C4" s="6"/>
      <x:c r="D4" s="6"/>
      <x:c r="E4" s="6"/>
      <x:c r="F4" s="6"/>
      <x:c r="G4" s="6"/>
      <x:c r="H4" s="6"/>
      <x:c r="I4" s="6"/>
      <x:c r="J4" s="6"/>
    </x:row>
    <x:row r="6" ht="23" customHeight="1">
      <x:c r="A6" s="14" t="str">
        <x:v>FMEA do produto</x:v>
      </x:c>
      <x:c r="B6" s="14"/>
      <x:c r="C6" s="14"/>
      <x:c r="D6" s="14"/>
      <x:c r="E6" s="14"/>
      <x:c r="F6" s="14"/>
      <x:c r="G6" s="14"/>
      <x:c r="H6" s="14"/>
      <x:c r="I6" s="14"/>
      <x:c r="J6" s="14"/>
    </x:row>
    <x:row r="7" ht="32" customHeight="1">
      <x:c r="A7" s="22" t="str">
        <x:v>Função</x:v>
      </x:c>
      <x:c r="B7" s="22" t="str">
        <x:v>Modo de falha</x:v>
      </x:c>
      <x:c r="C7" s="22" t="str">
        <x:v>Efeito</x:v>
      </x:c>
      <x:c r="D7" s="22" t="str">
        <x:v>Causa</x:v>
      </x:c>
      <x:c r="E7" s="22" t="str">
        <x:v>S</x:v>
      </x:c>
      <x:c r="F7" s="22" t="str">
        <x:v>O</x:v>
      </x:c>
      <x:c r="G7" s="22" t="str">
        <x:v>D</x:v>
      </x:c>
      <x:c r="H7" s="22" t="str">
        <x:v>RPN</x:v>
      </x:c>
      <x:c r="I7" s="22" t="str">
        <x:v>Ação</x:v>
      </x:c>
      <x:c r="J7" s="22" t="str">
        <x:v>Controle</x:v>
      </x:c>
    </x:row>
    <x:row r="8" ht="32" customHeight="1">
      <x:c r="A8" s="25" t="str"/>
      <x:c r="B8" s="25" t="str"/>
      <x:c r="C8" s="25" t="str"/>
      <x:c r="D8" s="25" t="str"/>
      <x:c r="E8" s="25" t="str"/>
      <x:c r="F8" s="25" t="str"/>
      <x:c r="G8" s="25" t="str"/>
      <x:c r="H8" s="18" t="str">
        <x:f>IF(COUNT(E8:G8)=3,E8*F8*G8,"")</x:f>
      </x:c>
      <x:c r="I8" s="18" t="str"/>
      <x:c r="J8" s="18" t="str"/>
    </x:row>
    <x:row r="9" ht="32" customHeight="1">
      <x:c r="A9" s="25" t="str"/>
      <x:c r="B9" s="25" t="str"/>
      <x:c r="C9" s="25" t="str"/>
      <x:c r="D9" s="25" t="str"/>
      <x:c r="E9" s="25" t="str"/>
      <x:c r="F9" s="25" t="str"/>
      <x:c r="G9" s="25" t="str"/>
      <x:c r="H9" s="18" t="str">
        <x:f>IF(COUNT(E9:G9)=3,E9*F9*G9,"")</x:f>
      </x:c>
      <x:c r="I9" s="18" t="str"/>
      <x:c r="J9" s="18" t="str"/>
    </x:row>
    <x:row r="10" ht="32" customHeight="1">
      <x:c r="A10" s="25" t="str"/>
      <x:c r="B10" s="25" t="str"/>
      <x:c r="C10" s="25" t="str"/>
      <x:c r="D10" s="25" t="str"/>
      <x:c r="E10" s="25" t="str"/>
      <x:c r="F10" s="25" t="str"/>
      <x:c r="G10" s="25" t="str"/>
      <x:c r="H10" s="18" t="str">
        <x:f>IF(COUNT(E10:G10)=3,E10*F10*G10,"")</x:f>
      </x:c>
      <x:c r="I10" s="18" t="str"/>
      <x:c r="J10" s="18" t="str"/>
    </x:row>
    <x:row r="11" ht="32" customHeight="1">
      <x:c r="A11" s="25" t="str"/>
      <x:c r="B11" s="25" t="str"/>
      <x:c r="C11" s="25" t="str"/>
      <x:c r="D11" s="25" t="str"/>
      <x:c r="E11" s="25" t="str"/>
      <x:c r="F11" s="25" t="str"/>
      <x:c r="G11" s="25" t="str"/>
      <x:c r="H11" s="18" t="str">
        <x:f>IF(COUNT(E11:G11)=3,E11*F11*G11,"")</x:f>
      </x:c>
      <x:c r="I11" s="18" t="str"/>
      <x:c r="J11" s="18" t="str"/>
    </x:row>
    <x:row r="12" ht="32" customHeight="1">
      <x:c r="A12" s="25" t="str"/>
      <x:c r="B12" s="25" t="str"/>
      <x:c r="C12" s="25" t="str"/>
      <x:c r="D12" s="25" t="str"/>
      <x:c r="E12" s="25" t="str"/>
      <x:c r="F12" s="25" t="str"/>
      <x:c r="G12" s="25" t="str"/>
      <x:c r="H12" s="18" t="str">
        <x:f>IF(COUNT(E12:G12)=3,E12*F12*G12,"")</x:f>
      </x:c>
      <x:c r="I12" s="18" t="str"/>
      <x:c r="J12" s="18" t="str"/>
    </x:row>
    <x:row r="13" ht="32" customHeight="1">
      <x:c r="A13" s="25" t="str"/>
      <x:c r="B13" s="25" t="str"/>
      <x:c r="C13" s="25" t="str"/>
      <x:c r="D13" s="25" t="str"/>
      <x:c r="E13" s="25" t="str"/>
      <x:c r="F13" s="25" t="str"/>
      <x:c r="G13" s="25" t="str"/>
      <x:c r="H13" s="18" t="str">
        <x:f>IF(COUNT(E13:G13)=3,E13*F13*G13,"")</x:f>
      </x:c>
      <x:c r="I13" s="18" t="str"/>
      <x:c r="J13" s="18" t="str"/>
    </x:row>
    <x:row r="14" ht="32" customHeight="1">
      <x:c r="A14" s="25" t="str"/>
      <x:c r="B14" s="25" t="str"/>
      <x:c r="C14" s="25" t="str"/>
      <x:c r="D14" s="25" t="str"/>
      <x:c r="E14" s="25" t="str"/>
      <x:c r="F14" s="25" t="str"/>
      <x:c r="G14" s="25" t="str"/>
      <x:c r="H14" s="18" t="str">
        <x:f>IF(COUNT(E14:G14)=3,E14*F14*G14,"")</x:f>
      </x:c>
      <x:c r="I14" s="18" t="str"/>
      <x:c r="J14" s="18" t="str"/>
    </x:row>
    <x:row r="15" ht="32" customHeight="1"/>
    <x:row r="16" ht="32" customHeight="1">
      <x:c r="A16" s="14" t="str">
        <x:v>Análise de valor</x:v>
      </x:c>
      <x:c r="B16" s="14"/>
      <x:c r="C16" s="14"/>
      <x:c r="D16" s="14"/>
      <x:c r="E16" s="14"/>
      <x:c r="F16" s="14"/>
      <x:c r="G16" s="14"/>
      <x:c r="H16" s="14"/>
      <x:c r="I16" s="14"/>
      <x:c r="J16" s="14"/>
    </x:row>
    <x:row r="17" ht="32" customHeight="1">
      <x:c r="A17" s="22" t="str">
        <x:v>Função/módulo</x:v>
      </x:c>
      <x:c r="B17" s="22" t="str">
        <x:v>Custo</x:v>
      </x:c>
      <x:c r="C17" s="22" t="str">
        <x:v>% do custo</x:v>
      </x:c>
      <x:c r="D17" s="22" t="str">
        <x:v>% do valor</x:v>
      </x:c>
      <x:c r="E17" s="22" t="str">
        <x:v>Valor/custo</x:v>
      </x:c>
      <x:c r="F17" s="22" t="str">
        <x:v>Decisão</x:v>
      </x:c>
    </x:row>
    <x:row r="18" ht="32" customHeight="1">
      <x:c r="A18" s="25" t="str"/>
      <x:c r="B18" s="27" t="str"/>
      <x:c r="C18" s="26" t="str"/>
      <x:c r="D18" s="26" t="str"/>
      <x:c r="E18" s="28" t="str">
        <x:f>IF(AND(ISNUMBER(C18),ISNUMBER(D18),C18&lt;&gt;0),D18/C18,"")</x:f>
      </x:c>
      <x:c r="F18" s="18" t="str"/>
    </x:row>
    <x:row r="19" ht="32" customHeight="1">
      <x:c r="A19" s="25" t="str"/>
      <x:c r="B19" s="27" t="str"/>
      <x:c r="C19" s="26" t="str"/>
      <x:c r="D19" s="26" t="str"/>
      <x:c r="E19" s="28" t="str">
        <x:f>IF(AND(ISNUMBER(C19),ISNUMBER(D19),C19&lt;&gt;0),D19/C19,"")</x:f>
      </x:c>
      <x:c r="F19" s="18" t="str"/>
    </x:row>
    <x:row r="20" ht="32" customHeight="1">
      <x:c r="A20" s="25" t="str"/>
      <x:c r="B20" s="27" t="str"/>
      <x:c r="C20" s="26" t="str"/>
      <x:c r="D20" s="26" t="str"/>
      <x:c r="E20" s="28" t="str">
        <x:f>IF(AND(ISNUMBER(C20),ISNUMBER(D20),C20&lt;&gt;0),D20/C20,"")</x:f>
      </x:c>
      <x:c r="F20" s="18" t="str"/>
    </x:row>
    <x:row r="21" ht="32" customHeight="1">
      <x:c r="A21" s="25" t="str"/>
      <x:c r="B21" s="27" t="str"/>
      <x:c r="C21" s="26" t="str"/>
      <x:c r="D21" s="26" t="str"/>
      <x:c r="E21" s="28" t="str">
        <x:f>IF(AND(ISNUMBER(C21),ISNUMBER(D21),C21&lt;&gt;0),D21/C21,"")</x:f>
      </x:c>
      <x:c r="F21" s="18" t="str"/>
    </x:row>
    <x:row r="22" ht="32" customHeight="1">
      <x:c r="A22" s="25" t="str"/>
      <x:c r="B22" s="27" t="str"/>
      <x:c r="C22" s="26" t="str"/>
      <x:c r="D22" s="26" t="str"/>
      <x:c r="E22" s="28" t="str">
        <x:f>IF(AND(ISNUMBER(C22),ISNUMBER(D22),C22&lt;&gt;0),D22/C22,"")</x:f>
      </x:c>
      <x:c r="F22" s="18" t="str"/>
    </x:row>
    <x:row r="23" ht="32" customHeight="1">
      <x:c r="A23" s="25" t="str"/>
      <x:c r="B23" s="27" t="str"/>
      <x:c r="C23" s="26" t="str"/>
      <x:c r="D23" s="26" t="str"/>
      <x:c r="E23" s="28" t="str">
        <x:f>IF(AND(ISNUMBER(C23),ISNUMBER(D23),C23&lt;&gt;0),D23/C23,"")</x:f>
      </x:c>
      <x:c r="F23" s="18" t="str"/>
    </x:row>
    <x:row r="24" ht="32" customHeight="1">
      <x:c r="A24" s="25" t="str"/>
      <x:c r="B24" s="27" t="str"/>
      <x:c r="C24" s="26" t="str"/>
      <x:c r="D24" s="26" t="str"/>
      <x:c r="E24" s="28" t="str">
        <x:f>IF(AND(ISNUMBER(C24),ISNUMBER(D24),C24&lt;&gt;0),D24/C24,"")</x:f>
      </x:c>
      <x:c r="F24" s="18" t="str"/>
    </x:row>
  </x:sheetData>
  <x:mergeCells>
    <x:mergeCell ref="A2:J2"/>
    <x:mergeCell ref="A4:J4"/>
    <x:mergeCell ref="A6:J6"/>
    <x:mergeCell ref="A16:J16"/>
  </x:mergeCells>
  <x:dataValidations count="1">
    <x:dataValidation type="whole" operator="between" sqref="E8:G14">
      <x:formula1>1</x:formula1>
      <x:formula2>10</x:formula2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163E6C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8" hidden="0" customWidth="1"/>
    <x:col min="2" max="2" width="43" hidden="0" customWidth="1"/>
    <x:col min="3" max="3" width="36" hidden="0" customWidth="1"/>
    <x:col min="4" max="4" width="42" hidden="0" customWidth="1"/>
    <x:col min="5" max="5" width="24" hidden="0" customWidth="1"/>
    <x:col min="6" max="6" width="17" hidden="0" customWidth="1"/>
    <x:col min="7" max="7" width="17" hidden="0" customWidth="1"/>
    <x:col min="8" max="8" width="16" hidden="0" customWidth="1"/>
  </x:cols>
  <x:sheetData>
    <x:row r="2" ht="30" customHeight="1">
      <x:c r="A2" s="2" t="str">
        <x:v>Pendências e plano de validação</x:v>
      </x:c>
      <x:c r="B2" s="2"/>
      <x:c r="C2" s="2"/>
      <x:c r="D2" s="2"/>
      <x:c r="E2" s="2"/>
      <x:c r="F2" s="2"/>
      <x:c r="G2" s="2"/>
      <x:c r="H2" s="2"/>
    </x:row>
    <x:row r="3">
      <x:c r="A3" s="3"/>
      <x:c r="B3" s="3"/>
      <x:c r="C3" s="3"/>
      <x:c r="D3" s="3"/>
      <x:c r="E3" s="3"/>
      <x:c r="F3" s="3"/>
      <x:c r="G3" s="3"/>
      <x:c r="H3" s="3"/>
    </x:row>
    <x:row r="4" ht="34" customHeight="1">
      <x:c r="A4" s="6" t="str">
        <x:v>Questões que precisam de evidência antes de avançar para requisitos, metas e concepções.</x:v>
      </x:c>
      <x:c r="B4" s="6"/>
      <x:c r="C4" s="6"/>
      <x:c r="D4" s="6"/>
      <x:c r="E4" s="6"/>
      <x:c r="F4" s="6"/>
      <x:c r="G4" s="6"/>
      <x:c r="H4" s="6"/>
    </x:row>
    <x:row r="6" ht="15" hidden="0" customHeight="1">
      <x:c r="A6" s="22" t="str">
        <x:v>ID</x:v>
      </x:c>
      <x:c r="B6" s="22" t="str">
        <x:v>Pergunta a responder</x:v>
      </x:c>
      <x:c r="C6" s="22" t="str">
        <x:v>Por que importa</x:v>
      </x:c>
      <x:c r="D6" s="22" t="str">
        <x:v>Método</x:v>
      </x:c>
      <x:c r="E6" s="22" t="str">
        <x:v>Fonte/ator</x:v>
      </x:c>
      <x:c r="F6" s="22" t="str">
        <x:v>Responsável</x:v>
      </x:c>
      <x:c r="G6" s="22" t="str">
        <x:v>Prazo</x:v>
      </x:c>
      <x:c r="H6" s="22" t="str">
        <x:v>Status</x:v>
      </x:c>
    </x:row>
    <x:row r="7" ht="15" hidden="0" customHeight="1">
      <x:c r="A7" s="18" t="str">
        <x:v>P-01</x:v>
      </x:c>
      <x:c r="B7" s="18" t="str">
        <x:v>Qual é a taxa de avaria por tipo de louça, rota e transportador?</x:v>
      </x:c>
      <x:c r="C7" s="18" t="str">
        <x:v>Dimensiona o problema e define uma linha de base.</x:v>
      </x:c>
      <x:c r="D7" s="18" t="str">
        <x:v>Extrair registros de troca, crédito e devolução.</x:v>
      </x:c>
      <x:c r="E7" s="18" t="str">
        <x:v>Distribuidor</x:v>
      </x:c>
      <x:c r="F7" s="25" t="str">
        <x:v>A definir</x:v>
      </x:c>
      <x:c r="G7" s="25" t="str">
        <x:v>A definir</x:v>
      </x:c>
      <x:c r="H7" s="18" t="str">
        <x:v>Aberta</x:v>
      </x:c>
    </x:row>
    <x:row r="8" ht="24" hidden="0" customHeight="1">
      <x:c r="A8" s="18" t="str">
        <x:v>P-02</x:v>
      </x:c>
      <x:c r="B8" s="18" t="str">
        <x:v>Em que ponto a avaria nasce e em que ponto fica visível?</x:v>
      </x:c>
      <x:c r="C8" s="18" t="str">
        <x:v>Evita confundir origem do dano com momento da detecção.</x:v>
      </x:c>
      <x:c r="D8" s="18" t="str">
        <x:v>Acompanhar entregas e registrar inspeções por etapa.</x:v>
      </x:c>
      <x:c r="E8" s="18" t="str">
        <x:v>Distribuidor e obra</x:v>
      </x:c>
      <x:c r="F8" s="25" t="str">
        <x:v>A definir</x:v>
      </x:c>
      <x:c r="G8" s="25" t="str">
        <x:v>A definir</x:v>
      </x:c>
      <x:c r="H8" s="18" t="str">
        <x:v>Aberta</x:v>
      </x:c>
    </x:row>
    <x:row r="9" ht="15" hidden="0" customHeight="1">
      <x:c r="A9" s="18" t="str">
        <x:v>P-03</x:v>
      </x:c>
      <x:c r="B9" s="18" t="str">
        <x:v>Quais produtos, massas e geometrias concentram ocorrências?</x:v>
      </x:c>
      <x:c r="C9" s="18" t="str">
        <x:v>Permite segmentar requisitos e ensaios.</x:v>
      </x:c>
      <x:c r="D9" s="18" t="str">
        <x:v>Classificar ocorrências por SKU e modo de dano.</x:v>
      </x:c>
      <x:c r="E9" s="18" t="str">
        <x:v>Distribuidor/fabricante</x:v>
      </x:c>
      <x:c r="F9" s="25" t="str">
        <x:v>A definir</x:v>
      </x:c>
      <x:c r="G9" s="25" t="str">
        <x:v>A definir</x:v>
      </x:c>
      <x:c r="H9" s="18" t="str">
        <x:v>Aberta</x:v>
      </x:c>
    </x:row>
    <x:row r="10" ht="15" hidden="0" customHeight="1">
      <x:c r="A10" s="18" t="str">
        <x:v>P-04</x:v>
      </x:c>
      <x:c r="B10" s="18" t="str">
        <x:v>Qual é o custo total de uma avaria?</x:v>
      </x:c>
      <x:c r="C10" s="18" t="str">
        <x:v>Sustenta custo-meta e viabilidade.</x:v>
      </x:c>
      <x:c r="D10" s="18" t="str">
        <x:v>Somar reposição, frete, mão de obra, atraso e descarte.</x:v>
      </x:c>
      <x:c r="E10" s="18" t="str">
        <x:v>Distribuidor e obra</x:v>
      </x:c>
      <x:c r="F10" s="25" t="str">
        <x:v>A definir</x:v>
      </x:c>
      <x:c r="G10" s="25" t="str">
        <x:v>A definir</x:v>
      </x:c>
      <x:c r="H10" s="18" t="str">
        <x:v>Aberta</x:v>
      </x:c>
    </x:row>
    <x:row r="11" ht="15" hidden="0" customHeight="1">
      <x:c r="A11" s="18" t="str">
        <x:v>P-05</x:v>
      </x:c>
      <x:c r="B11" s="18" t="str">
        <x:v>Quais condições de acesso impedem o uso de carrinhos?</x:v>
      </x:c>
      <x:c r="C11" s="18" t="str">
        <x:v>Conecta o risco humano ao contexto real da entrega.</x:v>
      </x:c>
      <x:c r="D11" s="18" t="str">
        <x:v>Medir portas, corredores, rampas, escadas e distâncias.</x:v>
      </x:c>
      <x:c r="E11" s="18" t="str">
        <x:v>Obra e transportador</x:v>
      </x:c>
      <x:c r="F11" s="25" t="str">
        <x:v>A definir</x:v>
      </x:c>
      <x:c r="G11" s="25" t="str">
        <x:v>A definir</x:v>
      </x:c>
      <x:c r="H11" s="18" t="str">
        <x:v>Aberta</x:v>
      </x:c>
    </x:row>
    <x:row r="12" ht="24" hidden="0" customHeight="1">
      <x:c r="A12" s="18" t="str">
        <x:v>P-06</x:v>
      </x:c>
      <x:c r="B12" s="18" t="str">
        <x:v>Quais são as práticas atuais de embalagem, unitização e amarração?</x:v>
      </x:c>
      <x:c r="C12" s="18" t="str">
        <x:v>Define o sistema existente e suas restrições.</x:v>
      </x:c>
      <x:c r="D12" s="18" t="str">
        <x:v>Observação, fotografias e análise de embalagem.</x:v>
      </x:c>
      <x:c r="E12" s="18" t="str">
        <x:v>Distribuidor/fabricante</x:v>
      </x:c>
      <x:c r="F12" s="25" t="str">
        <x:v>A definir</x:v>
      </x:c>
      <x:c r="G12" s="25" t="str">
        <x:v>A definir</x:v>
      </x:c>
      <x:c r="H12" s="18" t="str">
        <x:v>Aberta</x:v>
      </x:c>
    </x:row>
    <x:row r="13" ht="15" hidden="0" customHeight="1">
      <x:c r="A13" s="18" t="str">
        <x:v>P-07</x:v>
      </x:c>
      <x:c r="B13" s="18" t="str">
        <x:v>Quanto o mercado aceita pagar por maior proteção?</x:v>
      </x:c>
      <x:c r="C13" s="18" t="str">
        <x:v>Testa a tensão proteção versus preço.</x:v>
      </x:c>
      <x:c r="D13" s="18" t="str">
        <x:v>Entrevistas e experimento de escolha.</x:v>
      </x:c>
      <x:c r="E13" s="18" t="str">
        <x:v>Comprador/distribuidor</x:v>
      </x:c>
      <x:c r="F13" s="25" t="str">
        <x:v>A definir</x:v>
      </x:c>
      <x:c r="G13" s="25" t="str">
        <x:v>A definir</x:v>
      </x:c>
      <x:c r="H13" s="18" t="str">
        <x:v>Aberta</x:v>
      </x:c>
    </x:row>
    <x:row r="14" ht="24" hidden="0" customHeight="1">
      <x:c r="A14" s="18" t="str">
        <x:v>P-08</x:v>
      </x:c>
      <x:c r="B14" s="18" t="str">
        <x:v>Quais normas e critérios de ensaio se aplicam?</x:v>
      </x:c>
      <x:c r="C14" s="18" t="str">
        <x:v>Transforma segurança e desempenho em requisitos verificáveis.</x:v>
      </x:c>
      <x:c r="D14" s="18" t="str">
        <x:v>Revisão normativa e consulta técnica.</x:v>
      </x:c>
      <x:c r="E14" s="18" t="str">
        <x:v>Normas e especialistas</x:v>
      </x:c>
      <x:c r="F14" s="25" t="str">
        <x:v>A definir</x:v>
      </x:c>
      <x:c r="G14" s="25" t="str">
        <x:v>A definir</x:v>
      </x:c>
      <x:c r="H14" s="18" t="str">
        <x:v>Aberta</x:v>
      </x:c>
    </x:row>
    <x:row r="15" ht="24" hidden="0" customHeight="1">
      <x:c r="A15" s="18" t="str">
        <x:v>P-09</x:v>
      </x:c>
      <x:c r="B15" s="18" t="str">
        <x:v>Há liberdade de operação frente às patentes identificadas?</x:v>
      </x:c>
      <x:c r="C15" s="18" t="str">
        <x:v>Evita adotar solução protegida e orienta diferenciação.</x:v>
      </x:c>
      <x:c r="D15" s="18" t="str">
        <x:v>Busca profissional de anterioridade e análise de reivindicações.</x:v>
      </x:c>
      <x:c r="E15" s="18" t="str">
        <x:v>INPI/Google Patents</x:v>
      </x:c>
      <x:c r="F15" s="25" t="str">
        <x:v>A definir</x:v>
      </x:c>
      <x:c r="G15" s="25" t="str">
        <x:v>A definir</x:v>
      </x:c>
      <x:c r="H15" s="18" t="str">
        <x:v>Aberta</x:v>
      </x:c>
    </x:row>
  </x:sheetData>
  <x:mergeCells>
    <x:mergeCell ref="A2:H2"/>
    <x:mergeCell ref="A4:H4"/>
  </x:mergeCells>
  <x:conditionalFormatting sqref="H7:H15">
    <x:cfRule type="containsText" dxfId="3" priority="1" operator="containsText" text="Aberta"/>
    <x:cfRule type="containsText" dxfId="4" priority="2" operator="containsText" text="Concluída"/>
  </x:conditionalFormatting>
  <x:dataValidations count="1">
    <x:dataValidation type="list" sqref="H7:H15">
      <x:formula1>"Aberta,Em andamento,Concluída,Bloqueada"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4B5563"/>
  </x:sheetPr>
  <x:sheetViews>
    <x:sheetView showGridLines="0" workbookViewId="0"/>
  </x:sheetViews>
  <x:sheetFormatPr defaultRowHeight="15"/>
  <x:cols>
    <x:col min="1" max="1" width="9" hidden="0" customWidth="1"/>
    <x:col min="2" max="2" width="44" hidden="0" customWidth="1"/>
    <x:col min="3" max="3" width="44" hidden="0" customWidth="1"/>
    <x:col min="4" max="4" width="60" hidden="0" customWidth="1"/>
    <x:col min="5" max="5" width="16" hidden="0" customWidth="1"/>
    <x:col min="6" max="6" width="38" hidden="0" customWidth="1"/>
  </x:cols>
  <x:sheetData>
    <x:row r="2" ht="30" customHeight="1">
      <x:c r="A2" s="2" t="str">
        <x:v>Fontes e rastreabilidade</x:v>
      </x:c>
      <x:c r="B2" s="2"/>
      <x:c r="C2" s="2"/>
      <x:c r="D2" s="2"/>
      <x:c r="E2" s="2"/>
      <x:c r="F2" s="2"/>
    </x:row>
    <x:row r="3">
      <x:c r="A3" s="3"/>
      <x:c r="B3" s="3"/>
      <x:c r="C3" s="3"/>
      <x:c r="D3" s="3"/>
      <x:c r="E3" s="3"/>
      <x:c r="F3" s="3"/>
    </x:row>
    <x:row r="4" ht="34" customHeight="1">
      <x:c r="A4" s="6" t="str">
        <x:v>Fontes utilizadas nesta versão inicial. Referências futuras devem ser registradas aqui uma única vez.</x:v>
      </x:c>
      <x:c r="B4" s="6"/>
      <x:c r="C4" s="6"/>
      <x:c r="D4" s="6"/>
      <x:c r="E4" s="6"/>
      <x:c r="F4" s="6"/>
    </x:row>
    <x:row r="6" ht="15" hidden="0" customHeight="1">
      <x:c r="A6" s="22" t="str">
        <x:v>ID</x:v>
      </x:c>
      <x:c r="B6" s="22" t="str">
        <x:v>Fonte</x:v>
      </x:c>
      <x:c r="C6" s="22" t="str">
        <x:v>Uso no projeto</x:v>
      </x:c>
      <x:c r="D6" s="22" t="str">
        <x:v>Localização</x:v>
      </x:c>
      <x:c r="E6" s="22" t="str">
        <x:v>Data/edição</x:v>
      </x:c>
      <x:c r="F6" s="22" t="str">
        <x:v>Observação</x:v>
      </x:c>
    </x:row>
    <x:row r="7" ht="15" hidden="0" customHeight="1">
      <x:c r="A7" s="18" t="str">
        <x:v>S-01</x:v>
      </x:c>
      <x:c r="B7" s="18" t="str">
        <x:v>Apresentação Semana 03 - Louças sanitárias em trânsito</x:v>
      </x:c>
      <x:c r="C7" s="18" t="str">
        <x:v>Problema, evidências de campo, escala e anterioridade preliminar</x:v>
      </x:c>
      <x:c r="D7" s="18" t="str">
        <x:v>Entregas/Exemplos de entregas - base/apresentacao-semana-03-open-design.pdf</x:v>
      </x:c>
      <x:c r="E7" s="18" t="str">
        <x:v>24 ago. 2026</x:v>
      </x:c>
      <x:c r="F7" s="18" t="str">
        <x:v>Fonte primária do recorte atual.</x:v>
      </x:c>
    </x:row>
    <x:row r="8" ht="15" hidden="0" customHeight="1">
      <x:c r="A8" s="18" t="str">
        <x:v>S-02</x:v>
      </x:c>
      <x:c r="B8" s="18" t="str">
        <x:v>Tópicos de Estudo 2026/2</x:v>
      </x:c>
      <x:c r="C8" s="18" t="str">
        <x:v>Cronologia das aulas e atividades</x:v>
      </x:c>
      <x:c r="D8" s="18" t="str">
        <x:v>TOPICOS ESTUDO 2026_2.pdf</x:v>
      </x:c>
      <x:c r="E8" s="18" t="str">
        <x:v>2026/2</x:v>
      </x:c>
      <x:c r="F8" s="18" t="str">
        <x:v>Orienta a ordem metodológica.</x:v>
      </x:c>
    </x:row>
    <x:row r="9" ht="15" hidden="0" customHeight="1">
      <x:c r="A9" s="18" t="str">
        <x:v>S-03</x:v>
      </x:c>
      <x:c r="B9" s="18" t="str">
        <x:v>Slides das aulas de Engenharia de Produto</x:v>
      </x:c>
      <x:c r="C9" s="18" t="str">
        <x:v>Definições e métodos do PDP</x:v>
      </x:c>
      <x:c r="D9" s="18" t="str">
        <x:v>Engenharia de Produto - cópia/Slides do Conteúdo</x:v>
      </x:c>
      <x:c r="E9" s="18" t="str">
        <x:v>2026/2</x:v>
      </x:c>
      <x:c r="F9" s="18" t="str">
        <x:v>Em caso de divergência, o slide da disciplina prevalece.</x:v>
      </x:c>
    </x:row>
    <x:row r="10" ht="15" hidden="0" customHeight="1">
      <x:c r="A10" s="18" t="str">
        <x:v>S-04</x:v>
      </x:c>
      <x:c r="B10" s="18" t="str">
        <x:v>Rozenfeld et al. Gestão de Desenvolvimento de Produtos</x:v>
      </x:c>
      <x:c r="C10" s="18" t="str">
        <x:v>Modelo Unificado do PDP</x:v>
      </x:c>
      <x:c r="D10" s="18" t="str">
        <x:v>Bibliografia do curso</x:v>
      </x:c>
      <x:c r="E10" s="18" t="str">
        <x:v>2006</x:v>
      </x:c>
      <x:c r="F10" s="18" t="str">
        <x:v>Referência de processo.</x:v>
      </x:c>
    </x:row>
    <x:row r="11" ht="15" hidden="0" customHeight="1">
      <x:c r="A11" s="18" t="str">
        <x:v>S-05</x:v>
      </x:c>
      <x:c r="B11" s="18" t="str">
        <x:v>Back et al. Projeto Integrado de Produtos</x:v>
      </x:c>
      <x:c r="C11" s="18" t="str">
        <x:v>Planejamento, projeto informacional e conceitual</x:v>
      </x:c>
      <x:c r="D11" s="18" t="str">
        <x:v>Bibliografia do curso</x:v>
      </x:c>
      <x:c r="E11" s="18" t="str">
        <x:v>2008</x:v>
      </x:c>
      <x:c r="F11" s="18" t="str">
        <x:v>Referência metodológica.</x:v>
      </x:c>
    </x:row>
    <x:row r="12" ht="15" hidden="0" customHeight="1">
      <x:c r="A12" s="18" t="str">
        <x:v>S-06</x:v>
      </x:c>
      <x:c r="B12" s="18" t="str">
        <x:v>Wood et al. Design Innovation</x:v>
      </x:c>
      <x:c r="C12" s="18" t="str">
        <x:v>Descoberta, Kano, benchmarking, QFD e prototipagem</x:v>
      </x:c>
      <x:c r="D12" s="18" t="str">
        <x:v>Bibliografia do curso</x:v>
      </x:c>
      <x:c r="E12" s="18" t="str">
        <x:v>2021/2023</x:v>
      </x:c>
      <x:c r="F12" s="18" t="str">
        <x:v>Referência de métodos.</x:v>
      </x:c>
    </x:row>
  </x:sheetData>
  <x:mergeCells>
    <x:mergeCell ref="A2:F2"/>
    <x:mergeCell ref="A4:F4"/>
  </x:mergeCells>
  <x:pageMargins left="0.7" right="0.7" top="0.75" bottom="0.75" header="0.3" footer="0.3"/>
</x:worksheet>
</file>